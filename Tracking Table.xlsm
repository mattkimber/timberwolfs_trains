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3FBF8BC-DF01-4D46-B0F4-4AA19DD3944D}" xr6:coauthVersionLast="45" xr6:coauthVersionMax="45" xr10:uidLastSave="{00000000-0000-0000-0000-000000000000}"/>
  <bookViews>
    <workbookView xWindow="1650" yWindow="1935" windowWidth="24000"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Table!$A$1:$BQ$259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R2" i="1" l="1"/>
  <c r="BS2" i="1" s="1"/>
  <c r="BR3" i="1"/>
  <c r="BR4" i="1"/>
  <c r="BR5" i="1"/>
  <c r="BR6" i="1"/>
  <c r="BR7" i="1"/>
  <c r="BR8" i="1"/>
  <c r="BR9" i="1"/>
  <c r="BR10" i="1"/>
  <c r="BS10" i="1" s="1"/>
  <c r="BR11" i="1"/>
  <c r="BR12" i="1"/>
  <c r="BR13" i="1"/>
  <c r="BR14" i="1"/>
  <c r="BR15" i="1"/>
  <c r="BR16" i="1"/>
  <c r="BR17" i="1"/>
  <c r="BR18" i="1"/>
  <c r="BS18" i="1" s="1"/>
  <c r="BR19" i="1"/>
  <c r="BR20" i="1"/>
  <c r="BR21" i="1"/>
  <c r="BR22" i="1"/>
  <c r="BR23" i="1"/>
  <c r="BR24" i="1"/>
  <c r="BR25" i="1"/>
  <c r="BR26" i="1"/>
  <c r="BS26" i="1" s="1"/>
  <c r="BR27" i="1"/>
  <c r="BR28" i="1"/>
  <c r="BR29" i="1"/>
  <c r="BR30" i="1"/>
  <c r="BR31" i="1"/>
  <c r="BR32" i="1"/>
  <c r="BR33" i="1"/>
  <c r="BR34" i="1"/>
  <c r="BS34" i="1" s="1"/>
  <c r="BR35" i="1"/>
  <c r="BR36" i="1"/>
  <c r="BR37" i="1"/>
  <c r="BR38" i="1"/>
  <c r="BR39" i="1"/>
  <c r="BR40" i="1"/>
  <c r="BR41" i="1"/>
  <c r="BR42" i="1"/>
  <c r="BS42" i="1" s="1"/>
  <c r="BR43" i="1"/>
  <c r="BR44" i="1"/>
  <c r="BR45" i="1"/>
  <c r="BR46" i="1"/>
  <c r="BR47" i="1"/>
  <c r="BR48" i="1"/>
  <c r="BR49" i="1"/>
  <c r="BR50" i="1"/>
  <c r="BS50" i="1" s="1"/>
  <c r="BR51" i="1"/>
  <c r="BR52" i="1"/>
  <c r="BR53" i="1"/>
  <c r="BR54" i="1"/>
  <c r="BR55" i="1"/>
  <c r="BR56" i="1"/>
  <c r="BR57" i="1"/>
  <c r="BR58" i="1"/>
  <c r="BS58" i="1" s="1"/>
  <c r="BR59" i="1"/>
  <c r="BR60" i="1"/>
  <c r="BR61" i="1"/>
  <c r="BR62" i="1"/>
  <c r="BR63" i="1"/>
  <c r="BR64" i="1"/>
  <c r="BR65" i="1"/>
  <c r="BR66" i="1"/>
  <c r="BS66" i="1" s="1"/>
  <c r="BR67" i="1"/>
  <c r="BR68" i="1"/>
  <c r="BR69" i="1"/>
  <c r="BR70" i="1"/>
  <c r="BR71" i="1"/>
  <c r="BR72" i="1"/>
  <c r="BR73" i="1"/>
  <c r="BR74" i="1"/>
  <c r="BS74" i="1" s="1"/>
  <c r="BR75" i="1"/>
  <c r="BR76" i="1"/>
  <c r="BR77" i="1"/>
  <c r="BR78" i="1"/>
  <c r="BR79" i="1"/>
  <c r="BR80" i="1"/>
  <c r="BR81" i="1"/>
  <c r="BR82" i="1"/>
  <c r="BS82" i="1" s="1"/>
  <c r="BR83" i="1"/>
  <c r="BR84" i="1"/>
  <c r="BR85" i="1"/>
  <c r="BR86" i="1"/>
  <c r="BR87" i="1"/>
  <c r="BR88" i="1"/>
  <c r="BR89" i="1"/>
  <c r="BR90" i="1"/>
  <c r="BS90" i="1" s="1"/>
  <c r="BR91" i="1"/>
  <c r="BR92" i="1"/>
  <c r="BR93" i="1"/>
  <c r="BR94" i="1"/>
  <c r="BR95" i="1"/>
  <c r="BR96" i="1"/>
  <c r="BR97" i="1"/>
  <c r="BR98" i="1"/>
  <c r="BS98" i="1" s="1"/>
  <c r="BR99" i="1"/>
  <c r="BR100" i="1"/>
  <c r="BR101" i="1"/>
  <c r="BR102" i="1"/>
  <c r="BR103" i="1"/>
  <c r="BR104" i="1"/>
  <c r="BR105" i="1"/>
  <c r="BR106" i="1"/>
  <c r="BS106" i="1" s="1"/>
  <c r="BR107" i="1"/>
  <c r="BR108" i="1"/>
  <c r="BR109" i="1"/>
  <c r="BR110" i="1"/>
  <c r="BR111" i="1"/>
  <c r="BR112" i="1"/>
  <c r="BR113" i="1"/>
  <c r="BR114" i="1"/>
  <c r="BS114" i="1" s="1"/>
  <c r="BR115" i="1"/>
  <c r="BR116" i="1"/>
  <c r="BR117" i="1"/>
  <c r="BR118" i="1"/>
  <c r="BR119" i="1"/>
  <c r="BR120" i="1"/>
  <c r="BR121" i="1"/>
  <c r="BR122" i="1"/>
  <c r="BS122" i="1" s="1"/>
  <c r="BR123" i="1"/>
  <c r="BR124" i="1"/>
  <c r="BR125" i="1"/>
  <c r="BR126" i="1"/>
  <c r="BR127" i="1"/>
  <c r="BR128" i="1"/>
  <c r="BR129" i="1"/>
  <c r="BR130" i="1"/>
  <c r="BS130" i="1" s="1"/>
  <c r="BR131" i="1"/>
  <c r="BR132" i="1"/>
  <c r="BR133" i="1"/>
  <c r="BR134" i="1"/>
  <c r="BR135" i="1"/>
  <c r="BR136" i="1"/>
  <c r="BR137" i="1"/>
  <c r="BR138" i="1"/>
  <c r="BS138" i="1" s="1"/>
  <c r="BR139" i="1"/>
  <c r="BR140" i="1"/>
  <c r="BR141" i="1"/>
  <c r="BR142" i="1"/>
  <c r="BR143" i="1"/>
  <c r="BR144" i="1"/>
  <c r="BR145" i="1"/>
  <c r="BR146" i="1"/>
  <c r="BS146" i="1" s="1"/>
  <c r="BR147" i="1"/>
  <c r="BR148" i="1"/>
  <c r="BR149" i="1"/>
  <c r="BR150" i="1"/>
  <c r="BR151" i="1"/>
  <c r="BR152" i="1"/>
  <c r="BR153" i="1"/>
  <c r="BR154" i="1"/>
  <c r="BS154" i="1" s="1"/>
  <c r="BR155" i="1"/>
  <c r="BR156" i="1"/>
  <c r="BR157" i="1"/>
  <c r="BR158" i="1"/>
  <c r="BR159" i="1"/>
  <c r="BR160" i="1"/>
  <c r="BR161" i="1"/>
  <c r="BR162" i="1"/>
  <c r="BS162" i="1" s="1"/>
  <c r="BR163" i="1"/>
  <c r="BR164" i="1"/>
  <c r="BR165" i="1"/>
  <c r="BR166" i="1"/>
  <c r="BR167" i="1"/>
  <c r="BR168" i="1"/>
  <c r="BR169" i="1"/>
  <c r="BR170" i="1"/>
  <c r="BS170" i="1" s="1"/>
  <c r="BR171" i="1"/>
  <c r="BR172" i="1"/>
  <c r="BR173" i="1"/>
  <c r="BR174" i="1"/>
  <c r="BR175" i="1"/>
  <c r="BR176" i="1"/>
  <c r="BR177" i="1"/>
  <c r="BR178" i="1"/>
  <c r="BS178" i="1" s="1"/>
  <c r="BR179" i="1"/>
  <c r="BR180" i="1"/>
  <c r="BR181" i="1"/>
  <c r="BR182" i="1"/>
  <c r="BR183" i="1"/>
  <c r="BR184" i="1"/>
  <c r="BR185" i="1"/>
  <c r="BR186" i="1"/>
  <c r="BS186" i="1" s="1"/>
  <c r="BR187" i="1"/>
  <c r="BR188" i="1"/>
  <c r="BR189" i="1"/>
  <c r="BR190" i="1"/>
  <c r="BR191" i="1"/>
  <c r="BR192" i="1"/>
  <c r="BR193" i="1"/>
  <c r="BR194" i="1"/>
  <c r="BS194" i="1" s="1"/>
  <c r="BR195" i="1"/>
  <c r="BR196" i="1"/>
  <c r="BR197" i="1"/>
  <c r="BR198" i="1"/>
  <c r="BR199" i="1"/>
  <c r="BR200" i="1"/>
  <c r="BR201" i="1"/>
  <c r="BR202" i="1"/>
  <c r="BS202" i="1" s="1"/>
  <c r="BR203" i="1"/>
  <c r="BR204" i="1"/>
  <c r="BR205" i="1"/>
  <c r="BR206" i="1"/>
  <c r="BR207" i="1"/>
  <c r="BR208" i="1"/>
  <c r="BR209" i="1"/>
  <c r="BR210" i="1"/>
  <c r="BS210" i="1" s="1"/>
  <c r="BR211" i="1"/>
  <c r="BR212" i="1"/>
  <c r="BR213" i="1"/>
  <c r="BR214" i="1"/>
  <c r="BR215" i="1"/>
  <c r="BR216" i="1"/>
  <c r="BR217" i="1"/>
  <c r="BR218" i="1"/>
  <c r="BS218" i="1" s="1"/>
  <c r="BR219" i="1"/>
  <c r="BR220" i="1"/>
  <c r="BR221" i="1"/>
  <c r="BR222" i="1"/>
  <c r="BR223" i="1"/>
  <c r="BR224" i="1"/>
  <c r="BR225" i="1"/>
  <c r="BR226" i="1"/>
  <c r="BS226" i="1" s="1"/>
  <c r="BR227" i="1"/>
  <c r="BR228" i="1"/>
  <c r="BR229" i="1"/>
  <c r="BR230" i="1"/>
  <c r="BR231" i="1"/>
  <c r="BR232" i="1"/>
  <c r="BR233" i="1"/>
  <c r="BR234" i="1"/>
  <c r="BS234" i="1" s="1"/>
  <c r="BR235" i="1"/>
  <c r="BR236" i="1"/>
  <c r="BR237" i="1"/>
  <c r="BR238" i="1"/>
  <c r="BR239" i="1"/>
  <c r="BR240" i="1"/>
  <c r="BR241" i="1"/>
  <c r="BR242" i="1"/>
  <c r="BS242" i="1" s="1"/>
  <c r="BR243" i="1"/>
  <c r="BR244" i="1"/>
  <c r="BR245" i="1"/>
  <c r="BR246" i="1"/>
  <c r="BR247" i="1"/>
  <c r="BR248" i="1"/>
  <c r="BR249" i="1"/>
  <c r="BR250" i="1"/>
  <c r="BS250" i="1" s="1"/>
  <c r="BR251" i="1"/>
  <c r="BR252" i="1"/>
  <c r="BR253" i="1"/>
  <c r="BR254" i="1"/>
  <c r="BR255" i="1"/>
  <c r="BR256" i="1"/>
  <c r="BR257" i="1"/>
  <c r="BR258" i="1"/>
  <c r="BS258" i="1" s="1"/>
  <c r="BR259" i="1"/>
  <c r="BS3" i="1"/>
  <c r="BS9" i="1"/>
  <c r="BS11" i="1"/>
  <c r="BS17" i="1"/>
  <c r="BS19" i="1"/>
  <c r="BS25" i="1"/>
  <c r="BS27" i="1"/>
  <c r="BS33" i="1"/>
  <c r="BS41" i="1"/>
  <c r="BS49" i="1"/>
  <c r="BS57" i="1"/>
  <c r="BS65" i="1"/>
  <c r="BS73" i="1"/>
  <c r="BS81" i="1"/>
  <c r="BS89" i="1"/>
  <c r="BS97" i="1"/>
  <c r="BS105" i="1"/>
  <c r="BS113" i="1"/>
  <c r="BS121" i="1"/>
  <c r="BS129" i="1"/>
  <c r="BS137" i="1"/>
  <c r="BS145" i="1"/>
  <c r="BS153" i="1"/>
  <c r="BS161" i="1"/>
  <c r="BS169" i="1"/>
  <c r="BS177" i="1"/>
  <c r="BS185" i="1"/>
  <c r="BS193" i="1"/>
  <c r="BS201" i="1"/>
  <c r="BS209" i="1"/>
  <c r="BS217" i="1"/>
  <c r="BS225" i="1"/>
  <c r="BS233" i="1"/>
  <c r="BS241" i="1"/>
  <c r="BS249" i="1"/>
  <c r="BS257" i="1"/>
  <c r="BS4" i="1"/>
  <c r="BS5" i="1"/>
  <c r="BS6" i="1"/>
  <c r="BS7" i="1"/>
  <c r="BS8" i="1"/>
  <c r="BS12" i="1"/>
  <c r="BS13" i="1"/>
  <c r="BS14" i="1"/>
  <c r="BS15" i="1"/>
  <c r="BS16" i="1"/>
  <c r="BS20" i="1"/>
  <c r="BS21" i="1"/>
  <c r="BS22" i="1"/>
  <c r="BS23" i="1"/>
  <c r="BS24" i="1"/>
  <c r="BS28" i="1"/>
  <c r="BS29" i="1"/>
  <c r="BS30" i="1"/>
  <c r="BS31" i="1"/>
  <c r="BS32" i="1"/>
  <c r="BS35" i="1"/>
  <c r="BS36" i="1"/>
  <c r="BS37" i="1"/>
  <c r="BS38" i="1"/>
  <c r="BS39" i="1"/>
  <c r="BS40" i="1"/>
  <c r="BS43" i="1"/>
  <c r="BS44" i="1"/>
  <c r="BS45" i="1"/>
  <c r="BS46" i="1"/>
  <c r="BS47" i="1"/>
  <c r="BS48" i="1"/>
  <c r="BS51" i="1"/>
  <c r="BS52" i="1"/>
  <c r="BS53" i="1"/>
  <c r="BS54" i="1"/>
  <c r="BS55" i="1"/>
  <c r="BS56" i="1"/>
  <c r="BS59" i="1"/>
  <c r="BS60" i="1"/>
  <c r="BS61" i="1"/>
  <c r="BS62" i="1"/>
  <c r="BS63" i="1"/>
  <c r="BS64" i="1"/>
  <c r="BS67" i="1"/>
  <c r="BS68" i="1"/>
  <c r="BS69" i="1"/>
  <c r="BS70" i="1"/>
  <c r="BS71" i="1"/>
  <c r="BS72" i="1"/>
  <c r="BS75" i="1"/>
  <c r="BS76" i="1"/>
  <c r="BS77" i="1"/>
  <c r="BS78" i="1"/>
  <c r="BS79" i="1"/>
  <c r="BS80" i="1"/>
  <c r="BS83" i="1"/>
  <c r="BS84" i="1"/>
  <c r="BS85" i="1"/>
  <c r="BS86" i="1"/>
  <c r="BS87" i="1"/>
  <c r="BS88" i="1"/>
  <c r="BS91" i="1"/>
  <c r="BS92" i="1"/>
  <c r="BS93" i="1"/>
  <c r="BS94" i="1"/>
  <c r="BS95" i="1"/>
  <c r="BS96" i="1"/>
  <c r="BS99" i="1"/>
  <c r="BS100" i="1"/>
  <c r="BS101" i="1"/>
  <c r="BS102" i="1"/>
  <c r="BS103" i="1"/>
  <c r="BS104" i="1"/>
  <c r="BS107" i="1"/>
  <c r="BS108" i="1"/>
  <c r="BS109" i="1"/>
  <c r="BS110" i="1"/>
  <c r="BS111" i="1"/>
  <c r="BS112" i="1"/>
  <c r="BS115" i="1"/>
  <c r="BS116" i="1"/>
  <c r="BS117" i="1"/>
  <c r="BS118" i="1"/>
  <c r="BS119" i="1"/>
  <c r="BS120" i="1"/>
  <c r="BS123" i="1"/>
  <c r="BS124" i="1"/>
  <c r="BS125" i="1"/>
  <c r="BS126" i="1"/>
  <c r="BS127" i="1"/>
  <c r="BS128" i="1"/>
  <c r="BS131" i="1"/>
  <c r="BS132" i="1"/>
  <c r="BS133" i="1"/>
  <c r="BS134" i="1"/>
  <c r="BS135" i="1"/>
  <c r="BS136" i="1"/>
  <c r="BS139" i="1"/>
  <c r="BS140" i="1"/>
  <c r="BS141" i="1"/>
  <c r="BS142" i="1"/>
  <c r="BS143" i="1"/>
  <c r="BS144" i="1"/>
  <c r="BS147" i="1"/>
  <c r="BS148" i="1"/>
  <c r="BS149" i="1"/>
  <c r="BS150" i="1"/>
  <c r="BS151" i="1"/>
  <c r="BS152" i="1"/>
  <c r="BS155" i="1"/>
  <c r="BS156" i="1"/>
  <c r="BS157" i="1"/>
  <c r="BS158" i="1"/>
  <c r="BS159" i="1"/>
  <c r="BS160" i="1"/>
  <c r="BS163" i="1"/>
  <c r="BS164" i="1"/>
  <c r="BS165" i="1"/>
  <c r="BS166" i="1"/>
  <c r="BS167" i="1"/>
  <c r="BS168" i="1"/>
  <c r="BS171" i="1"/>
  <c r="BS172" i="1"/>
  <c r="BS173" i="1"/>
  <c r="BS174" i="1"/>
  <c r="BS175" i="1"/>
  <c r="BS176" i="1"/>
  <c r="BS179" i="1"/>
  <c r="BS180" i="1"/>
  <c r="BS181" i="1"/>
  <c r="BS182" i="1"/>
  <c r="BS183" i="1"/>
  <c r="BS184" i="1"/>
  <c r="BS187" i="1"/>
  <c r="BS188" i="1"/>
  <c r="BS189" i="1"/>
  <c r="BS190" i="1"/>
  <c r="BS191" i="1"/>
  <c r="BS192" i="1"/>
  <c r="BS195" i="1"/>
  <c r="BS196" i="1"/>
  <c r="BS197" i="1"/>
  <c r="BS198" i="1"/>
  <c r="BS199" i="1"/>
  <c r="BS200" i="1"/>
  <c r="BS203" i="1"/>
  <c r="BS204" i="1"/>
  <c r="BS205" i="1"/>
  <c r="BS206" i="1"/>
  <c r="BS207" i="1"/>
  <c r="BS208" i="1"/>
  <c r="BS211" i="1"/>
  <c r="BS212" i="1"/>
  <c r="BS213" i="1"/>
  <c r="BS214" i="1"/>
  <c r="BS215" i="1"/>
  <c r="BS216" i="1"/>
  <c r="BS219" i="1"/>
  <c r="BS220" i="1"/>
  <c r="BS221" i="1"/>
  <c r="BS222" i="1"/>
  <c r="BS223" i="1"/>
  <c r="BS224" i="1"/>
  <c r="BS227" i="1"/>
  <c r="BS228" i="1"/>
  <c r="BS229" i="1"/>
  <c r="BS230" i="1"/>
  <c r="BS231" i="1"/>
  <c r="BS232" i="1"/>
  <c r="BS235" i="1"/>
  <c r="BS236" i="1"/>
  <c r="BS237" i="1"/>
  <c r="BS238" i="1"/>
  <c r="BS239" i="1"/>
  <c r="BS240" i="1"/>
  <c r="BS243" i="1"/>
  <c r="BS244" i="1"/>
  <c r="BS245" i="1"/>
  <c r="BS246" i="1"/>
  <c r="BS247" i="1"/>
  <c r="BS248" i="1"/>
  <c r="BS251" i="1"/>
  <c r="BS252" i="1"/>
  <c r="BS253" i="1"/>
  <c r="BS254" i="1"/>
  <c r="BS255" i="1"/>
  <c r="BS256" i="1"/>
  <c r="BS259" i="1"/>
  <c r="BO3" i="1"/>
  <c r="BP3" i="1"/>
  <c r="BO4" i="1"/>
  <c r="BP4" i="1"/>
  <c r="BO5" i="1"/>
  <c r="BP5" i="1"/>
  <c r="BO6" i="1"/>
  <c r="BP6" i="1"/>
  <c r="BO7" i="1"/>
  <c r="BP7" i="1"/>
  <c r="BO8" i="1"/>
  <c r="BP8" i="1"/>
  <c r="BO9" i="1"/>
  <c r="BP9" i="1"/>
  <c r="BO10" i="1"/>
  <c r="BP10" i="1"/>
  <c r="BO11" i="1"/>
  <c r="BP11" i="1"/>
  <c r="BO12" i="1"/>
  <c r="BP12" i="1"/>
  <c r="BO13" i="1"/>
  <c r="BP13" i="1"/>
  <c r="BO14" i="1"/>
  <c r="BP14" i="1"/>
  <c r="BP15" i="1"/>
  <c r="BP16" i="1"/>
  <c r="BP17" i="1"/>
  <c r="BP18" i="1"/>
  <c r="BP19" i="1"/>
  <c r="BP20" i="1"/>
  <c r="BP21" i="1"/>
  <c r="BP22" i="1"/>
  <c r="BP23" i="1"/>
  <c r="BP24" i="1"/>
  <c r="BP25" i="1"/>
  <c r="BP26" i="1"/>
  <c r="BP27" i="1"/>
  <c r="BP28" i="1"/>
  <c r="BP29" i="1"/>
  <c r="BP30" i="1"/>
  <c r="BP31" i="1"/>
  <c r="BP32" i="1"/>
  <c r="BP33" i="1"/>
  <c r="BP34" i="1"/>
  <c r="BP35" i="1"/>
  <c r="BP36" i="1"/>
  <c r="BP37" i="1"/>
  <c r="BP38" i="1"/>
  <c r="BP39" i="1"/>
  <c r="BP40" i="1"/>
  <c r="BP41" i="1"/>
  <c r="BP42" i="1"/>
  <c r="BP43" i="1"/>
  <c r="BP44" i="1"/>
  <c r="BP45" i="1"/>
  <c r="BP46" i="1"/>
  <c r="BP47" i="1"/>
  <c r="BP48" i="1"/>
  <c r="BP49" i="1"/>
  <c r="BP50" i="1"/>
  <c r="BP51" i="1"/>
  <c r="BP52" i="1"/>
  <c r="BP53" i="1"/>
  <c r="BP54" i="1"/>
  <c r="BP55" i="1"/>
  <c r="BP56" i="1"/>
  <c r="BP57" i="1"/>
  <c r="BP58" i="1"/>
  <c r="BP59" i="1"/>
  <c r="BP60" i="1"/>
  <c r="BO61" i="1"/>
  <c r="BP61" i="1"/>
  <c r="BP62" i="1"/>
  <c r="BP63" i="1"/>
  <c r="BP64" i="1"/>
  <c r="BO65" i="1"/>
  <c r="BP65" i="1"/>
  <c r="BO66" i="1"/>
  <c r="BP66" i="1"/>
  <c r="BO67" i="1"/>
  <c r="BP67" i="1"/>
  <c r="BO68" i="1"/>
  <c r="BP68" i="1"/>
  <c r="BO69" i="1"/>
  <c r="BP69" i="1"/>
  <c r="BO70" i="1"/>
  <c r="BP70" i="1"/>
  <c r="BO71" i="1"/>
  <c r="BP71" i="1"/>
  <c r="BO72" i="1"/>
  <c r="BP72" i="1"/>
  <c r="BO73" i="1"/>
  <c r="BP73" i="1"/>
  <c r="BO74" i="1"/>
  <c r="BP74" i="1"/>
  <c r="BO75" i="1"/>
  <c r="BP75" i="1"/>
  <c r="BO76" i="1"/>
  <c r="BP76" i="1"/>
  <c r="BO77" i="1"/>
  <c r="BP77" i="1"/>
  <c r="BO78" i="1"/>
  <c r="BP78" i="1"/>
  <c r="BO79" i="1"/>
  <c r="BP79" i="1"/>
  <c r="BO80" i="1"/>
  <c r="BP80" i="1"/>
  <c r="BO81" i="1"/>
  <c r="BP81" i="1"/>
  <c r="BO82" i="1"/>
  <c r="BP82" i="1"/>
  <c r="BO83" i="1"/>
  <c r="BP83" i="1"/>
  <c r="BO84" i="1"/>
  <c r="BP84" i="1"/>
  <c r="BO85" i="1"/>
  <c r="BP85" i="1"/>
  <c r="BO86" i="1"/>
  <c r="BP86" i="1"/>
  <c r="BO87" i="1"/>
  <c r="BP87" i="1"/>
  <c r="BO88" i="1"/>
  <c r="BP88" i="1"/>
  <c r="BO89" i="1"/>
  <c r="BP89" i="1"/>
  <c r="BO90" i="1"/>
  <c r="BP90" i="1"/>
  <c r="BO91" i="1"/>
  <c r="BP91" i="1"/>
  <c r="BO92" i="1"/>
  <c r="BP92" i="1"/>
  <c r="BO93" i="1"/>
  <c r="BP93" i="1"/>
  <c r="BO94" i="1"/>
  <c r="BP94" i="1"/>
  <c r="BO95" i="1"/>
  <c r="BP95" i="1"/>
  <c r="BO96" i="1"/>
  <c r="BP96" i="1"/>
  <c r="BO97" i="1"/>
  <c r="BP97" i="1"/>
  <c r="BO98" i="1"/>
  <c r="BP98" i="1"/>
  <c r="BO99" i="1"/>
  <c r="BP99" i="1"/>
  <c r="BO100" i="1"/>
  <c r="BP100" i="1"/>
  <c r="BO101" i="1"/>
  <c r="BP101" i="1"/>
  <c r="BO102" i="1"/>
  <c r="BP102" i="1"/>
  <c r="BO103" i="1"/>
  <c r="BP103" i="1"/>
  <c r="BO104" i="1"/>
  <c r="BP104" i="1"/>
  <c r="BO105" i="1"/>
  <c r="BP105" i="1"/>
  <c r="BO106" i="1"/>
  <c r="BP106" i="1"/>
  <c r="BO107" i="1"/>
  <c r="BP107" i="1"/>
  <c r="BO108" i="1"/>
  <c r="BP108" i="1"/>
  <c r="BO109" i="1"/>
  <c r="BP109" i="1"/>
  <c r="BO110" i="1"/>
  <c r="BP110" i="1"/>
  <c r="BO111" i="1"/>
  <c r="BP111" i="1"/>
  <c r="BO112" i="1"/>
  <c r="BP112" i="1"/>
  <c r="BO113" i="1"/>
  <c r="BP113" i="1"/>
  <c r="BO114" i="1"/>
  <c r="BP114" i="1"/>
  <c r="BO115" i="1"/>
  <c r="BP115" i="1"/>
  <c r="BO116" i="1"/>
  <c r="BP116" i="1"/>
  <c r="BO117" i="1"/>
  <c r="BP117" i="1"/>
  <c r="BO118" i="1"/>
  <c r="BP118" i="1"/>
  <c r="BO119" i="1"/>
  <c r="BP119" i="1"/>
  <c r="BO120" i="1"/>
  <c r="BP120" i="1"/>
  <c r="BO121" i="1"/>
  <c r="BP121" i="1"/>
  <c r="BO122" i="1"/>
  <c r="BP122" i="1"/>
  <c r="BO123" i="1"/>
  <c r="BP123" i="1"/>
  <c r="BO124" i="1"/>
  <c r="BP124" i="1"/>
  <c r="BO125" i="1"/>
  <c r="BP125" i="1"/>
  <c r="BO126" i="1"/>
  <c r="BP126" i="1"/>
  <c r="BO127" i="1"/>
  <c r="BP127" i="1"/>
  <c r="BO128" i="1"/>
  <c r="BP128" i="1"/>
  <c r="BO129" i="1"/>
  <c r="BP129" i="1"/>
  <c r="BO130" i="1"/>
  <c r="BP130" i="1"/>
  <c r="BO131" i="1"/>
  <c r="BP131" i="1"/>
  <c r="BO132" i="1"/>
  <c r="BP132" i="1"/>
  <c r="BO133" i="1"/>
  <c r="BP133" i="1"/>
  <c r="BO134" i="1"/>
  <c r="BP134" i="1"/>
  <c r="BO135" i="1"/>
  <c r="BP135" i="1"/>
  <c r="BO136" i="1"/>
  <c r="BP136" i="1"/>
  <c r="BO137" i="1"/>
  <c r="BP137" i="1"/>
  <c r="BO138" i="1"/>
  <c r="BP138" i="1"/>
  <c r="BO139" i="1"/>
  <c r="BP139" i="1"/>
  <c r="BO140" i="1"/>
  <c r="BP140" i="1"/>
  <c r="BO141" i="1"/>
  <c r="BP141" i="1"/>
  <c r="BO142" i="1"/>
  <c r="BP142" i="1"/>
  <c r="BO143" i="1"/>
  <c r="BP143" i="1"/>
  <c r="BO144" i="1"/>
  <c r="BP144" i="1"/>
  <c r="BO145" i="1"/>
  <c r="BP145" i="1"/>
  <c r="BO146" i="1"/>
  <c r="BP146" i="1"/>
  <c r="BO147" i="1"/>
  <c r="BP147" i="1"/>
  <c r="BO148" i="1"/>
  <c r="BP148" i="1"/>
  <c r="BO149" i="1"/>
  <c r="BP149" i="1"/>
  <c r="BO150" i="1"/>
  <c r="BP150" i="1"/>
  <c r="BO151" i="1"/>
  <c r="BP151" i="1"/>
  <c r="BO152" i="1"/>
  <c r="BP152" i="1"/>
  <c r="BO153" i="1"/>
  <c r="BP153" i="1"/>
  <c r="BO154" i="1"/>
  <c r="BP154" i="1"/>
  <c r="BO155" i="1"/>
  <c r="BP155" i="1"/>
  <c r="BO156" i="1"/>
  <c r="BP156" i="1"/>
  <c r="BO157" i="1"/>
  <c r="BP157" i="1"/>
  <c r="BO158" i="1"/>
  <c r="BP158" i="1"/>
  <c r="BO159" i="1"/>
  <c r="BP159" i="1"/>
  <c r="BO160" i="1"/>
  <c r="BP160" i="1"/>
  <c r="BO161" i="1"/>
  <c r="BP161" i="1"/>
  <c r="BO162" i="1"/>
  <c r="BP162" i="1"/>
  <c r="BO163" i="1"/>
  <c r="BP163" i="1"/>
  <c r="BO164" i="1"/>
  <c r="BP164" i="1"/>
  <c r="BO165" i="1"/>
  <c r="BP165" i="1"/>
  <c r="BO166" i="1"/>
  <c r="BP166" i="1"/>
  <c r="BO167" i="1"/>
  <c r="BP167" i="1"/>
  <c r="BO168" i="1"/>
  <c r="BP168" i="1"/>
  <c r="BO169" i="1"/>
  <c r="BP169" i="1"/>
  <c r="BO170" i="1"/>
  <c r="BP170" i="1"/>
  <c r="BO171" i="1"/>
  <c r="BP171" i="1"/>
  <c r="BO172" i="1"/>
  <c r="BP172" i="1"/>
  <c r="BO173" i="1"/>
  <c r="BP173" i="1"/>
  <c r="BO174" i="1"/>
  <c r="BP174" i="1"/>
  <c r="BO175" i="1"/>
  <c r="BP175" i="1"/>
  <c r="BO176" i="1"/>
  <c r="BP176" i="1"/>
  <c r="BO177" i="1"/>
  <c r="BP177" i="1"/>
  <c r="BO178" i="1"/>
  <c r="BP178" i="1"/>
  <c r="BO179" i="1"/>
  <c r="BP179" i="1"/>
  <c r="BO180" i="1"/>
  <c r="BP180" i="1"/>
  <c r="BO181" i="1"/>
  <c r="BP181" i="1"/>
  <c r="BO182" i="1"/>
  <c r="BP182" i="1"/>
  <c r="BO183" i="1"/>
  <c r="BP183" i="1"/>
  <c r="BO184" i="1"/>
  <c r="BP184" i="1"/>
  <c r="BO185" i="1"/>
  <c r="BP185" i="1"/>
  <c r="BO186" i="1"/>
  <c r="BP186" i="1"/>
  <c r="BO187" i="1"/>
  <c r="BP187" i="1"/>
  <c r="BO188" i="1"/>
  <c r="BP188" i="1"/>
  <c r="BO189" i="1"/>
  <c r="BP189" i="1"/>
  <c r="BO190" i="1"/>
  <c r="BP190" i="1"/>
  <c r="BO191" i="1"/>
  <c r="BP191" i="1"/>
  <c r="BO192" i="1"/>
  <c r="BP192" i="1"/>
  <c r="BO193" i="1"/>
  <c r="BP193" i="1"/>
  <c r="BO194" i="1"/>
  <c r="BP194" i="1"/>
  <c r="BO195" i="1"/>
  <c r="BP195" i="1"/>
  <c r="BO196" i="1"/>
  <c r="BP196" i="1"/>
  <c r="BO197" i="1"/>
  <c r="BP197" i="1"/>
  <c r="BO198" i="1"/>
  <c r="BP198" i="1"/>
  <c r="BO199" i="1"/>
  <c r="BP199" i="1"/>
  <c r="BO200" i="1"/>
  <c r="BP200" i="1"/>
  <c r="BO201" i="1"/>
  <c r="BP201" i="1"/>
  <c r="BO202" i="1"/>
  <c r="BP202" i="1"/>
  <c r="BO203" i="1"/>
  <c r="BP203" i="1"/>
  <c r="BO204" i="1"/>
  <c r="BP204" i="1"/>
  <c r="BO205" i="1"/>
  <c r="BP205" i="1"/>
  <c r="BO206" i="1"/>
  <c r="BP206" i="1"/>
  <c r="BO207" i="1"/>
  <c r="BP207" i="1"/>
  <c r="BO208" i="1"/>
  <c r="BP208" i="1"/>
  <c r="BO209" i="1"/>
  <c r="BP209" i="1"/>
  <c r="BO210" i="1"/>
  <c r="BP210" i="1"/>
  <c r="BO211" i="1"/>
  <c r="BP211" i="1"/>
  <c r="BO212" i="1"/>
  <c r="BP212" i="1"/>
  <c r="BO213" i="1"/>
  <c r="BP213" i="1"/>
  <c r="BO214" i="1"/>
  <c r="BP214" i="1"/>
  <c r="BO215" i="1"/>
  <c r="BP215" i="1"/>
  <c r="BO216" i="1"/>
  <c r="BP216" i="1"/>
  <c r="BO217" i="1"/>
  <c r="BP217" i="1"/>
  <c r="BO218" i="1"/>
  <c r="BP218" i="1"/>
  <c r="BO219" i="1"/>
  <c r="BP219" i="1"/>
  <c r="BO220" i="1"/>
  <c r="BP220" i="1"/>
  <c r="BO221" i="1"/>
  <c r="BP221" i="1"/>
  <c r="BO222" i="1"/>
  <c r="BP222" i="1"/>
  <c r="BO223" i="1"/>
  <c r="BP223" i="1"/>
  <c r="BO224" i="1"/>
  <c r="BP224" i="1"/>
  <c r="BO225" i="1"/>
  <c r="BP225" i="1"/>
  <c r="BO226" i="1"/>
  <c r="BP226" i="1"/>
  <c r="BO227" i="1"/>
  <c r="BP227" i="1"/>
  <c r="BO228" i="1"/>
  <c r="BP228" i="1"/>
  <c r="BO229" i="1"/>
  <c r="BP229" i="1"/>
  <c r="BO230" i="1"/>
  <c r="BP230" i="1"/>
  <c r="BO231" i="1"/>
  <c r="BP231" i="1"/>
  <c r="BO232" i="1"/>
  <c r="BP232" i="1"/>
  <c r="BO233" i="1"/>
  <c r="BP233" i="1"/>
  <c r="BO234" i="1"/>
  <c r="BP234" i="1"/>
  <c r="BO235" i="1"/>
  <c r="BP235" i="1"/>
  <c r="BO236" i="1"/>
  <c r="BP236" i="1"/>
  <c r="BO237" i="1"/>
  <c r="BP237" i="1"/>
  <c r="BO238" i="1"/>
  <c r="BP238" i="1"/>
  <c r="BO239" i="1"/>
  <c r="BP239" i="1"/>
  <c r="BO240" i="1"/>
  <c r="BP240" i="1"/>
  <c r="BO241" i="1"/>
  <c r="BP241" i="1"/>
  <c r="BO242" i="1"/>
  <c r="BP242" i="1"/>
  <c r="BO243" i="1"/>
  <c r="BP243" i="1"/>
  <c r="BO244" i="1"/>
  <c r="BP244" i="1"/>
  <c r="BO245" i="1"/>
  <c r="BP245" i="1"/>
  <c r="BO246" i="1"/>
  <c r="BP246" i="1"/>
  <c r="BO247" i="1"/>
  <c r="BP247" i="1"/>
  <c r="BO248" i="1"/>
  <c r="BP248" i="1"/>
  <c r="BO249" i="1"/>
  <c r="BP249" i="1"/>
  <c r="BO250" i="1"/>
  <c r="BP250" i="1"/>
  <c r="BO251" i="1"/>
  <c r="BP251" i="1"/>
  <c r="BO252" i="1"/>
  <c r="BP252" i="1"/>
  <c r="BO253" i="1"/>
  <c r="BP253" i="1"/>
  <c r="BO254" i="1"/>
  <c r="BP254" i="1"/>
  <c r="BO255" i="1"/>
  <c r="BP255" i="1"/>
  <c r="BO256" i="1"/>
  <c r="BP256" i="1"/>
  <c r="BO257" i="1"/>
  <c r="BP257" i="1"/>
  <c r="BO258" i="1"/>
  <c r="BP258" i="1"/>
  <c r="BO259" i="1"/>
  <c r="BP259" i="1"/>
  <c r="BO2" i="1"/>
  <c r="BP2" i="1"/>
  <c r="Q85" i="1"/>
  <c r="S85" i="1" s="1"/>
  <c r="T216" i="1"/>
  <c r="X216" i="1" s="1"/>
  <c r="BL216" i="1"/>
  <c r="BN216" i="1" s="1"/>
  <c r="AZ216" i="1"/>
  <c r="AY216" i="1"/>
  <c r="AX216" i="1"/>
  <c r="AV216" i="1"/>
  <c r="AU216" i="1"/>
  <c r="AT216" i="1"/>
  <c r="AQ216" i="1"/>
  <c r="AG216" i="1"/>
  <c r="AI216" i="1" s="1"/>
  <c r="T194" i="1"/>
  <c r="X194" i="1" s="1"/>
  <c r="BL194" i="1"/>
  <c r="BN194" i="1" s="1"/>
  <c r="AZ194" i="1"/>
  <c r="AY194" i="1"/>
  <c r="AX194" i="1"/>
  <c r="AV194" i="1"/>
  <c r="AU194" i="1"/>
  <c r="AT194" i="1"/>
  <c r="AQ194" i="1"/>
  <c r="AG194" i="1"/>
  <c r="AI194" i="1" s="1"/>
  <c r="T213" i="1"/>
  <c r="BL212" i="1"/>
  <c r="BN212" i="1" s="1"/>
  <c r="AZ212" i="1"/>
  <c r="AY212" i="1"/>
  <c r="AV212" i="1"/>
  <c r="AU212" i="1"/>
  <c r="AT212" i="1"/>
  <c r="AQ212" i="1"/>
  <c r="AG212" i="1"/>
  <c r="AI212" i="1" s="1"/>
  <c r="AE212" i="1"/>
  <c r="AX212" i="1" s="1"/>
  <c r="X212" i="1"/>
  <c r="T224" i="1"/>
  <c r="BL223" i="1"/>
  <c r="BN223" i="1" s="1"/>
  <c r="AZ223" i="1"/>
  <c r="AY223" i="1"/>
  <c r="AX223" i="1"/>
  <c r="AV223" i="1"/>
  <c r="AU223" i="1"/>
  <c r="AT223" i="1"/>
  <c r="AQ223" i="1"/>
  <c r="AG223" i="1"/>
  <c r="AI223" i="1" s="1"/>
  <c r="X223" i="1"/>
  <c r="T219" i="1"/>
  <c r="X219" i="1" s="1"/>
  <c r="BL219" i="1"/>
  <c r="BN219" i="1" s="1"/>
  <c r="AZ219" i="1"/>
  <c r="AY219" i="1"/>
  <c r="AX219" i="1"/>
  <c r="AV219" i="1"/>
  <c r="AT219" i="1"/>
  <c r="AQ219" i="1"/>
  <c r="AG219" i="1"/>
  <c r="AI219" i="1" s="1"/>
  <c r="K219" i="1"/>
  <c r="AU219" i="1" s="1"/>
  <c r="T202" i="1"/>
  <c r="X202" i="1" s="1"/>
  <c r="BL202" i="1"/>
  <c r="BN202" i="1" s="1"/>
  <c r="AZ202" i="1"/>
  <c r="AY202" i="1"/>
  <c r="AX202" i="1"/>
  <c r="AV202" i="1"/>
  <c r="AU202" i="1"/>
  <c r="AT202" i="1"/>
  <c r="AQ202" i="1"/>
  <c r="AG202" i="1"/>
  <c r="AI202" i="1" s="1"/>
  <c r="T187" i="1"/>
  <c r="X187" i="1" s="1"/>
  <c r="BL187" i="1"/>
  <c r="BN187" i="1" s="1"/>
  <c r="AZ187" i="1"/>
  <c r="AY187" i="1"/>
  <c r="AX187" i="1"/>
  <c r="AV187" i="1"/>
  <c r="AU187" i="1"/>
  <c r="AT187" i="1"/>
  <c r="AQ187" i="1"/>
  <c r="AG187" i="1"/>
  <c r="AI187" i="1" s="1"/>
  <c r="T209" i="1"/>
  <c r="X209" i="1" s="1"/>
  <c r="T215" i="1"/>
  <c r="X215" i="1" s="1"/>
  <c r="BL215" i="1"/>
  <c r="BN215" i="1" s="1"/>
  <c r="AZ215" i="1"/>
  <c r="AY215" i="1"/>
  <c r="AX215" i="1"/>
  <c r="AV215" i="1"/>
  <c r="AU215" i="1"/>
  <c r="AT215" i="1"/>
  <c r="AQ215" i="1"/>
  <c r="AG215" i="1"/>
  <c r="AI215" i="1" s="1"/>
  <c r="T193" i="1"/>
  <c r="X193" i="1" s="1"/>
  <c r="BL193" i="1"/>
  <c r="BN193" i="1" s="1"/>
  <c r="AZ193" i="1"/>
  <c r="AY193" i="1"/>
  <c r="AX193" i="1"/>
  <c r="AV193" i="1"/>
  <c r="AU193" i="1"/>
  <c r="AT193" i="1"/>
  <c r="AQ193" i="1"/>
  <c r="AG193" i="1"/>
  <c r="AI193" i="1" s="1"/>
  <c r="BL209" i="1"/>
  <c r="BN209" i="1" s="1"/>
  <c r="AZ209" i="1"/>
  <c r="AY209" i="1"/>
  <c r="AX209" i="1"/>
  <c r="AV209" i="1"/>
  <c r="AU209" i="1"/>
  <c r="AT209" i="1"/>
  <c r="AQ209" i="1"/>
  <c r="AG209" i="1"/>
  <c r="AI209" i="1" s="1"/>
  <c r="AF194" i="1" l="1"/>
  <c r="AF216" i="1"/>
  <c r="BB216" i="1"/>
  <c r="BA216" i="1"/>
  <c r="BB194" i="1"/>
  <c r="BB212" i="1"/>
  <c r="BA194" i="1"/>
  <c r="AF212" i="1"/>
  <c r="BA212" i="1"/>
  <c r="BB223" i="1"/>
  <c r="AF219" i="1"/>
  <c r="AF223" i="1"/>
  <c r="BA223" i="1"/>
  <c r="BB219" i="1"/>
  <c r="BA219" i="1"/>
  <c r="BB202" i="1"/>
  <c r="AF202" i="1"/>
  <c r="BA202" i="1"/>
  <c r="AF187" i="1"/>
  <c r="BB187" i="1"/>
  <c r="AF215" i="1"/>
  <c r="BA187" i="1"/>
  <c r="AF193" i="1"/>
  <c r="BB215" i="1"/>
  <c r="BA215" i="1"/>
  <c r="BB193" i="1"/>
  <c r="BA193" i="1"/>
  <c r="AF209" i="1"/>
  <c r="BB209" i="1"/>
  <c r="BA209" i="1"/>
  <c r="BL18" i="1"/>
  <c r="BN18" i="1" s="1"/>
  <c r="BD18" i="1"/>
  <c r="BO18" i="1" s="1"/>
  <c r="AZ18" i="1"/>
  <c r="AY18" i="1"/>
  <c r="AX18" i="1"/>
  <c r="AV18" i="1"/>
  <c r="AU18" i="1"/>
  <c r="AT18" i="1"/>
  <c r="AQ18" i="1"/>
  <c r="AG18" i="1"/>
  <c r="AF18" i="1" s="1"/>
  <c r="X18" i="1"/>
  <c r="BB18" i="1" l="1"/>
  <c r="AI18" i="1"/>
  <c r="BA18" i="1"/>
  <c r="AQ3" i="1"/>
  <c r="AQ4" i="1"/>
  <c r="AQ5" i="1"/>
  <c r="AQ6" i="1"/>
  <c r="AQ7" i="1"/>
  <c r="AQ8" i="1"/>
  <c r="AQ9" i="1"/>
  <c r="AQ10" i="1"/>
  <c r="AQ11" i="1"/>
  <c r="AQ12" i="1"/>
  <c r="AQ13" i="1"/>
  <c r="AQ14" i="1"/>
  <c r="AQ15" i="1"/>
  <c r="AQ16" i="1"/>
  <c r="AQ17"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Q51" i="1"/>
  <c r="AQ52" i="1"/>
  <c r="AQ53" i="1"/>
  <c r="AQ54" i="1"/>
  <c r="AQ55" i="1"/>
  <c r="AQ56" i="1"/>
  <c r="AQ57" i="1"/>
  <c r="AQ58" i="1"/>
  <c r="AQ59" i="1"/>
  <c r="AQ60" i="1"/>
  <c r="AQ61" i="1"/>
  <c r="AQ62" i="1"/>
  <c r="AQ63" i="1"/>
  <c r="AQ64" i="1"/>
  <c r="AQ65" i="1"/>
  <c r="AQ66" i="1"/>
  <c r="AQ67" i="1"/>
  <c r="AQ68" i="1"/>
  <c r="AQ69" i="1"/>
  <c r="AQ70" i="1"/>
  <c r="AQ71" i="1"/>
  <c r="AQ72" i="1"/>
  <c r="AQ73" i="1"/>
  <c r="AQ74" i="1"/>
  <c r="AQ75" i="1"/>
  <c r="AQ76" i="1"/>
  <c r="AQ77" i="1"/>
  <c r="AQ78" i="1"/>
  <c r="AQ79" i="1"/>
  <c r="AQ80" i="1"/>
  <c r="AQ81" i="1"/>
  <c r="AQ82" i="1"/>
  <c r="AQ83" i="1"/>
  <c r="AQ84" i="1"/>
  <c r="AQ85" i="1"/>
  <c r="AQ95" i="1"/>
  <c r="AQ96" i="1"/>
  <c r="AQ86" i="1"/>
  <c r="AQ87" i="1"/>
  <c r="AQ88" i="1"/>
  <c r="AQ89" i="1"/>
  <c r="AQ90" i="1"/>
  <c r="AQ91" i="1"/>
  <c r="AQ92" i="1"/>
  <c r="AQ93" i="1"/>
  <c r="AQ94"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8" i="1"/>
  <c r="AQ189" i="1"/>
  <c r="AQ190" i="1"/>
  <c r="AQ191" i="1"/>
  <c r="AQ192" i="1"/>
  <c r="AQ195" i="1"/>
  <c r="AQ196" i="1"/>
  <c r="AQ197" i="1"/>
  <c r="AQ198" i="1"/>
  <c r="AQ199" i="1"/>
  <c r="AQ200" i="1"/>
  <c r="AQ201" i="1"/>
  <c r="AQ203" i="1"/>
  <c r="AQ204" i="1"/>
  <c r="AQ205" i="1"/>
  <c r="AQ206" i="1"/>
  <c r="AQ207" i="1"/>
  <c r="AQ208" i="1"/>
  <c r="AQ210" i="1"/>
  <c r="AQ211" i="1"/>
  <c r="AQ213" i="1"/>
  <c r="AQ214" i="1"/>
  <c r="AQ217" i="1"/>
  <c r="AQ218" i="1"/>
  <c r="AQ220" i="1"/>
  <c r="AQ221" i="1"/>
  <c r="AQ224" i="1"/>
  <c r="AQ225" i="1"/>
  <c r="AQ226" i="1"/>
  <c r="AQ222"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 i="1"/>
  <c r="BD24" i="1"/>
  <c r="BO24" i="1" s="1"/>
  <c r="BD25" i="1"/>
  <c r="BO25" i="1" s="1"/>
  <c r="BD26" i="1"/>
  <c r="BO26" i="1" s="1"/>
  <c r="BD27" i="1"/>
  <c r="BO27" i="1" s="1"/>
  <c r="BD28" i="1"/>
  <c r="BO28" i="1" s="1"/>
  <c r="BD29" i="1"/>
  <c r="BO29" i="1" s="1"/>
  <c r="BD30" i="1"/>
  <c r="BO30" i="1" s="1"/>
  <c r="BD31" i="1"/>
  <c r="BO31" i="1" s="1"/>
  <c r="BD32" i="1"/>
  <c r="BO32" i="1" s="1"/>
  <c r="BD33" i="1"/>
  <c r="BO33" i="1" s="1"/>
  <c r="BD34" i="1"/>
  <c r="BO34" i="1" s="1"/>
  <c r="BD35" i="1"/>
  <c r="BO35" i="1" s="1"/>
  <c r="BD36" i="1"/>
  <c r="BO36" i="1" s="1"/>
  <c r="BD37" i="1"/>
  <c r="BO37" i="1" s="1"/>
  <c r="BD38" i="1"/>
  <c r="BO38" i="1" s="1"/>
  <c r="BD39" i="1"/>
  <c r="BO39" i="1" s="1"/>
  <c r="BD40" i="1"/>
  <c r="BO40" i="1" s="1"/>
  <c r="BD41" i="1"/>
  <c r="BO41" i="1" s="1"/>
  <c r="BD42" i="1"/>
  <c r="BO42" i="1" s="1"/>
  <c r="BD43" i="1"/>
  <c r="BO43" i="1" s="1"/>
  <c r="BD44" i="1"/>
  <c r="BO44" i="1" s="1"/>
  <c r="BD45" i="1"/>
  <c r="BO45" i="1" s="1"/>
  <c r="BD46" i="1"/>
  <c r="BO46" i="1" s="1"/>
  <c r="BD47" i="1"/>
  <c r="BO47" i="1" s="1"/>
  <c r="BD48" i="1"/>
  <c r="BO48" i="1" s="1"/>
  <c r="BD49" i="1"/>
  <c r="BO49" i="1" s="1"/>
  <c r="BD50" i="1"/>
  <c r="BO50" i="1" s="1"/>
  <c r="BD51" i="1"/>
  <c r="BO51" i="1" s="1"/>
  <c r="BD52" i="1"/>
  <c r="BO52" i="1" s="1"/>
  <c r="BD53" i="1"/>
  <c r="BO53" i="1" s="1"/>
  <c r="BD54" i="1"/>
  <c r="BO54" i="1" s="1"/>
  <c r="BD55" i="1"/>
  <c r="BO55" i="1" s="1"/>
  <c r="BD56" i="1"/>
  <c r="BO56" i="1" s="1"/>
  <c r="BD57" i="1"/>
  <c r="BO57" i="1" s="1"/>
  <c r="BD58" i="1"/>
  <c r="BO58" i="1" s="1"/>
  <c r="BD59" i="1"/>
  <c r="BO59" i="1" s="1"/>
  <c r="BD60" i="1"/>
  <c r="BO60" i="1" s="1"/>
  <c r="BD23" i="1"/>
  <c r="BO23" i="1" s="1"/>
  <c r="BD63" i="1" l="1"/>
  <c r="BO63" i="1" s="1"/>
  <c r="BD64" i="1"/>
  <c r="BO64" i="1" s="1"/>
  <c r="BD62" i="1"/>
  <c r="BO62" i="1" s="1"/>
  <c r="BD16" i="1"/>
  <c r="BO16" i="1" s="1"/>
  <c r="BD17" i="1"/>
  <c r="BO17" i="1" s="1"/>
  <c r="BD19" i="1"/>
  <c r="BO19" i="1" s="1"/>
  <c r="BD20" i="1"/>
  <c r="BO20" i="1" s="1"/>
  <c r="BD21" i="1"/>
  <c r="BO21" i="1" s="1"/>
  <c r="BD22" i="1"/>
  <c r="BO22" i="1" s="1"/>
  <c r="BD15" i="1"/>
  <c r="BO15" i="1" s="1"/>
  <c r="AZ17" i="1" l="1"/>
  <c r="AZ15" i="1"/>
  <c r="AZ16" i="1"/>
  <c r="AZ228" i="1"/>
  <c r="AZ55" i="1"/>
  <c r="AZ50" i="1"/>
  <c r="AZ36" i="1"/>
  <c r="AZ23" i="1"/>
  <c r="AZ20" i="1"/>
  <c r="AZ22" i="1"/>
  <c r="AZ21" i="1"/>
  <c r="AZ19" i="1"/>
  <c r="AZ45" i="1"/>
  <c r="AZ62" i="1"/>
  <c r="AZ56" i="1"/>
  <c r="AZ64" i="1"/>
  <c r="AZ24" i="1"/>
  <c r="AZ46" i="1"/>
  <c r="AZ37" i="1"/>
  <c r="AZ51" i="1"/>
  <c r="AZ38" i="1"/>
  <c r="AZ63" i="1"/>
  <c r="AZ32" i="1"/>
  <c r="AZ57" i="1"/>
  <c r="AZ39" i="1"/>
  <c r="AZ47" i="1"/>
  <c r="AZ52" i="1"/>
  <c r="AZ40" i="1"/>
  <c r="AZ25" i="1"/>
  <c r="AZ33" i="1"/>
  <c r="AZ49" i="1"/>
  <c r="AZ26" i="1"/>
  <c r="AZ34" i="1"/>
  <c r="AZ61" i="1"/>
  <c r="AZ59" i="1"/>
  <c r="AZ53" i="1"/>
  <c r="AZ43" i="1"/>
  <c r="AZ27" i="1"/>
  <c r="AZ48" i="1"/>
  <c r="AZ58" i="1"/>
  <c r="AZ44" i="1"/>
  <c r="AZ35" i="1"/>
  <c r="AZ28" i="1"/>
  <c r="AZ41" i="1"/>
  <c r="AZ60" i="1"/>
  <c r="AZ30" i="1"/>
  <c r="AZ29" i="1"/>
  <c r="AZ31" i="1"/>
  <c r="AZ42" i="1"/>
  <c r="AZ54" i="1"/>
  <c r="AZ2" i="1"/>
  <c r="AZ3" i="1"/>
  <c r="AZ4" i="1"/>
  <c r="AZ5" i="1"/>
  <c r="AZ6" i="1"/>
  <c r="AZ7" i="1"/>
  <c r="AZ8" i="1"/>
  <c r="AZ9" i="1"/>
  <c r="AZ10" i="1"/>
  <c r="AZ11" i="1"/>
  <c r="AZ12" i="1"/>
  <c r="AZ13" i="1"/>
  <c r="AZ14" i="1"/>
  <c r="AZ65" i="1"/>
  <c r="AZ66" i="1"/>
  <c r="AZ67" i="1"/>
  <c r="AZ68" i="1"/>
  <c r="AZ69" i="1"/>
  <c r="AZ70" i="1"/>
  <c r="AZ71" i="1"/>
  <c r="AZ72" i="1"/>
  <c r="AZ73" i="1"/>
  <c r="AZ74" i="1"/>
  <c r="AZ75" i="1"/>
  <c r="AZ76" i="1"/>
  <c r="AZ77" i="1"/>
  <c r="AZ78" i="1"/>
  <c r="AZ79" i="1"/>
  <c r="AZ80" i="1"/>
  <c r="AZ81" i="1"/>
  <c r="AZ82" i="1"/>
  <c r="AZ83" i="1"/>
  <c r="AZ84" i="1"/>
  <c r="AZ85" i="1"/>
  <c r="AZ95" i="1"/>
  <c r="AZ96" i="1"/>
  <c r="AZ119" i="1"/>
  <c r="AZ183" i="1"/>
  <c r="AZ185" i="1"/>
  <c r="AZ225" i="1"/>
  <c r="AZ176"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178" i="1"/>
  <c r="AZ179" i="1"/>
  <c r="AZ180" i="1"/>
  <c r="AZ181" i="1"/>
  <c r="AZ182" i="1"/>
  <c r="AZ138" i="1"/>
  <c r="AZ184" i="1"/>
  <c r="AZ186" i="1"/>
  <c r="AZ188" i="1"/>
  <c r="AZ189" i="1"/>
  <c r="AZ190" i="1"/>
  <c r="AZ191" i="1"/>
  <c r="AZ192" i="1"/>
  <c r="AZ195" i="1"/>
  <c r="AZ196" i="1"/>
  <c r="AZ197" i="1"/>
  <c r="AZ198" i="1"/>
  <c r="AZ199" i="1"/>
  <c r="AZ200" i="1"/>
  <c r="AZ201" i="1"/>
  <c r="AZ203" i="1"/>
  <c r="AZ204" i="1"/>
  <c r="AZ205" i="1"/>
  <c r="AZ206" i="1"/>
  <c r="AZ207" i="1"/>
  <c r="AZ210" i="1"/>
  <c r="AZ211" i="1"/>
  <c r="AZ213" i="1"/>
  <c r="AZ214" i="1"/>
  <c r="AZ217" i="1"/>
  <c r="AZ218" i="1"/>
  <c r="AZ220" i="1"/>
  <c r="AZ221" i="1"/>
  <c r="AZ224" i="1"/>
  <c r="AZ226" i="1"/>
  <c r="AZ222" i="1"/>
  <c r="AZ208" i="1"/>
  <c r="AZ86" i="1"/>
  <c r="AZ87" i="1"/>
  <c r="AZ88" i="1"/>
  <c r="AZ177" i="1"/>
  <c r="AZ89" i="1"/>
  <c r="AZ90" i="1"/>
  <c r="AZ91" i="1"/>
  <c r="AZ92" i="1"/>
  <c r="AZ93" i="1"/>
  <c r="AZ94" i="1"/>
  <c r="AZ97" i="1"/>
  <c r="AZ98" i="1"/>
  <c r="AZ99" i="1"/>
  <c r="AZ100" i="1"/>
  <c r="AZ101" i="1"/>
  <c r="AZ102" i="1"/>
  <c r="AZ103" i="1"/>
  <c r="AZ104" i="1"/>
  <c r="AZ105" i="1"/>
  <c r="AZ106" i="1"/>
  <c r="AZ107" i="1"/>
  <c r="AZ108" i="1"/>
  <c r="AZ110" i="1"/>
  <c r="AZ109" i="1"/>
  <c r="AZ111" i="1"/>
  <c r="AZ112" i="1"/>
  <c r="AZ113" i="1"/>
  <c r="AZ114" i="1"/>
  <c r="AZ115" i="1"/>
  <c r="AZ116" i="1"/>
  <c r="AZ117" i="1"/>
  <c r="AZ118" i="1"/>
  <c r="AZ120" i="1"/>
  <c r="AZ121" i="1"/>
  <c r="AZ122" i="1"/>
  <c r="AZ123" i="1"/>
  <c r="AZ124" i="1"/>
  <c r="AZ125" i="1"/>
  <c r="AZ126" i="1"/>
  <c r="AZ127" i="1"/>
  <c r="AZ128" i="1"/>
  <c r="AZ129" i="1"/>
  <c r="AZ130" i="1"/>
  <c r="AZ131" i="1"/>
  <c r="AZ132" i="1"/>
  <c r="AZ133" i="1"/>
  <c r="AZ134" i="1"/>
  <c r="AZ135" i="1"/>
  <c r="AZ136" i="1"/>
  <c r="AZ137"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227" i="1"/>
  <c r="AX17" i="1"/>
  <c r="AX15" i="1"/>
  <c r="AX16" i="1"/>
  <c r="AX228" i="1"/>
  <c r="AX55" i="1"/>
  <c r="AX50" i="1"/>
  <c r="AX36" i="1"/>
  <c r="AX23" i="1"/>
  <c r="AX20" i="1"/>
  <c r="AX22" i="1"/>
  <c r="AX21" i="1"/>
  <c r="AX19" i="1"/>
  <c r="AX45" i="1"/>
  <c r="AX62" i="1"/>
  <c r="AX56" i="1"/>
  <c r="AX64" i="1"/>
  <c r="AX24" i="1"/>
  <c r="AX46" i="1"/>
  <c r="AX37" i="1"/>
  <c r="AX51" i="1"/>
  <c r="AX38" i="1"/>
  <c r="AX63" i="1"/>
  <c r="AX32" i="1"/>
  <c r="AX57" i="1"/>
  <c r="AX39" i="1"/>
  <c r="AX47" i="1"/>
  <c r="AX52" i="1"/>
  <c r="AX25" i="1"/>
  <c r="AX33" i="1"/>
  <c r="AX49" i="1"/>
  <c r="AX26" i="1"/>
  <c r="AX34" i="1"/>
  <c r="AX61" i="1"/>
  <c r="AX59" i="1"/>
  <c r="AX53" i="1"/>
  <c r="AX43" i="1"/>
  <c r="AX27" i="1"/>
  <c r="AX48" i="1"/>
  <c r="AX58" i="1"/>
  <c r="AX44" i="1"/>
  <c r="AX35" i="1"/>
  <c r="AX28" i="1"/>
  <c r="AX41" i="1"/>
  <c r="AX60" i="1"/>
  <c r="AX30" i="1"/>
  <c r="AX29" i="1"/>
  <c r="AX31" i="1"/>
  <c r="AX42" i="1"/>
  <c r="AX54" i="1"/>
  <c r="AX2" i="1"/>
  <c r="AX3" i="1"/>
  <c r="AX4" i="1"/>
  <c r="AX5" i="1"/>
  <c r="AX6" i="1"/>
  <c r="AX7" i="1"/>
  <c r="AX8" i="1"/>
  <c r="AX9" i="1"/>
  <c r="AX10" i="1"/>
  <c r="AX11" i="1"/>
  <c r="AX12" i="1"/>
  <c r="AX13" i="1"/>
  <c r="AX14" i="1"/>
  <c r="AX65" i="1"/>
  <c r="AX66" i="1"/>
  <c r="AX67" i="1"/>
  <c r="AX68" i="1"/>
  <c r="AX69" i="1"/>
  <c r="AX70" i="1"/>
  <c r="AX71" i="1"/>
  <c r="AX72" i="1"/>
  <c r="AX73" i="1"/>
  <c r="AX74" i="1"/>
  <c r="AX75" i="1"/>
  <c r="AX76" i="1"/>
  <c r="AX77" i="1"/>
  <c r="AX78" i="1"/>
  <c r="AX79" i="1"/>
  <c r="AX80" i="1"/>
  <c r="AX81" i="1"/>
  <c r="AX82" i="1"/>
  <c r="AX83" i="1"/>
  <c r="AX84" i="1"/>
  <c r="AX85" i="1"/>
  <c r="AX95" i="1"/>
  <c r="AX96" i="1"/>
  <c r="AX119" i="1"/>
  <c r="AX183" i="1"/>
  <c r="AX185" i="1"/>
  <c r="AX225" i="1"/>
  <c r="AX176" i="1"/>
  <c r="AX229" i="1"/>
  <c r="AX230" i="1"/>
  <c r="AX231" i="1"/>
  <c r="AX232" i="1"/>
  <c r="AX233" i="1"/>
  <c r="AX234" i="1"/>
  <c r="AX235" i="1"/>
  <c r="AX236" i="1"/>
  <c r="AX237" i="1"/>
  <c r="AX238" i="1"/>
  <c r="AX239" i="1"/>
  <c r="AX240" i="1"/>
  <c r="AX241" i="1"/>
  <c r="AX242" i="1"/>
  <c r="AX243" i="1"/>
  <c r="AX244" i="1"/>
  <c r="AX245" i="1"/>
  <c r="AX247" i="1"/>
  <c r="AX248" i="1"/>
  <c r="AX249" i="1"/>
  <c r="AX250" i="1"/>
  <c r="AX251" i="1"/>
  <c r="AX252" i="1"/>
  <c r="AX253" i="1"/>
  <c r="AX254" i="1"/>
  <c r="AX255" i="1"/>
  <c r="AX256" i="1"/>
  <c r="AX257" i="1"/>
  <c r="AX258" i="1"/>
  <c r="AX259" i="1"/>
  <c r="AX178" i="1"/>
  <c r="AX179" i="1"/>
  <c r="AX180" i="1"/>
  <c r="AX182" i="1"/>
  <c r="AX138" i="1"/>
  <c r="AX184" i="1"/>
  <c r="AX186" i="1"/>
  <c r="AX188" i="1"/>
  <c r="AX189" i="1"/>
  <c r="AX190" i="1"/>
  <c r="AX191" i="1"/>
  <c r="AX192" i="1"/>
  <c r="AX195" i="1"/>
  <c r="AX196" i="1"/>
  <c r="AX197" i="1"/>
  <c r="AX198" i="1"/>
  <c r="AX199" i="1"/>
  <c r="AX200" i="1"/>
  <c r="AX201" i="1"/>
  <c r="AX203" i="1"/>
  <c r="AX204" i="1"/>
  <c r="AX205" i="1"/>
  <c r="AX206" i="1"/>
  <c r="AX207" i="1"/>
  <c r="AX210" i="1"/>
  <c r="AX211" i="1"/>
  <c r="AX214" i="1"/>
  <c r="AX217" i="1"/>
  <c r="AX218" i="1"/>
  <c r="AX220" i="1"/>
  <c r="AX221" i="1"/>
  <c r="AX224" i="1"/>
  <c r="AX226" i="1"/>
  <c r="AX222" i="1"/>
  <c r="AX208" i="1"/>
  <c r="AX86" i="1"/>
  <c r="AX87" i="1"/>
  <c r="AX88" i="1"/>
  <c r="AX177" i="1"/>
  <c r="AX89" i="1"/>
  <c r="AX90" i="1"/>
  <c r="AX91" i="1"/>
  <c r="AX92" i="1"/>
  <c r="AX93" i="1"/>
  <c r="AX94" i="1"/>
  <c r="AX97" i="1"/>
  <c r="AX98" i="1"/>
  <c r="AX99" i="1"/>
  <c r="AX100" i="1"/>
  <c r="AX101" i="1"/>
  <c r="AX102" i="1"/>
  <c r="AX103" i="1"/>
  <c r="AX104" i="1"/>
  <c r="AX105" i="1"/>
  <c r="AX106" i="1"/>
  <c r="AX107" i="1"/>
  <c r="AX108" i="1"/>
  <c r="AX110" i="1"/>
  <c r="AX109" i="1"/>
  <c r="AX111" i="1"/>
  <c r="AX112" i="1"/>
  <c r="AX113" i="1"/>
  <c r="AX114" i="1"/>
  <c r="AX115" i="1"/>
  <c r="AX116" i="1"/>
  <c r="AX117" i="1"/>
  <c r="AX118" i="1"/>
  <c r="AX120" i="1"/>
  <c r="AX121" i="1"/>
  <c r="AX122" i="1"/>
  <c r="AX123" i="1"/>
  <c r="AX124" i="1"/>
  <c r="AX125" i="1"/>
  <c r="AX126" i="1"/>
  <c r="AX127" i="1"/>
  <c r="AX128" i="1"/>
  <c r="AX129" i="1"/>
  <c r="AX130" i="1"/>
  <c r="AX131" i="1"/>
  <c r="AX132" i="1"/>
  <c r="AX133" i="1"/>
  <c r="AX134" i="1"/>
  <c r="AX135" i="1"/>
  <c r="AX136" i="1"/>
  <c r="AX137"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227" i="1"/>
  <c r="AT17" i="1"/>
  <c r="AU17" i="1"/>
  <c r="AV17" i="1"/>
  <c r="AY17" i="1"/>
  <c r="AT15" i="1"/>
  <c r="AU15" i="1"/>
  <c r="AV15" i="1"/>
  <c r="AY15" i="1"/>
  <c r="AT16" i="1"/>
  <c r="AU16" i="1"/>
  <c r="AV16" i="1"/>
  <c r="AY16" i="1"/>
  <c r="AT228" i="1"/>
  <c r="AU228" i="1"/>
  <c r="AV228" i="1"/>
  <c r="AY228" i="1"/>
  <c r="AT55" i="1"/>
  <c r="AU55" i="1"/>
  <c r="AV55" i="1"/>
  <c r="AY55" i="1"/>
  <c r="AT50" i="1"/>
  <c r="AU50" i="1"/>
  <c r="AV50" i="1"/>
  <c r="AY50" i="1"/>
  <c r="AT36" i="1"/>
  <c r="AU36" i="1"/>
  <c r="AV36" i="1"/>
  <c r="AY36" i="1"/>
  <c r="AT23" i="1"/>
  <c r="AU23" i="1"/>
  <c r="AV23" i="1"/>
  <c r="AY23" i="1"/>
  <c r="AT20" i="1"/>
  <c r="AU20" i="1"/>
  <c r="AV20" i="1"/>
  <c r="AY20" i="1"/>
  <c r="AT22" i="1"/>
  <c r="AU22" i="1"/>
  <c r="AV22" i="1"/>
  <c r="AY22" i="1"/>
  <c r="AT21" i="1"/>
  <c r="AU21" i="1"/>
  <c r="AV21" i="1"/>
  <c r="AY21" i="1"/>
  <c r="AT19" i="1"/>
  <c r="AU19" i="1"/>
  <c r="AV19" i="1"/>
  <c r="AY19" i="1"/>
  <c r="AT45" i="1"/>
  <c r="AU45" i="1"/>
  <c r="AV45" i="1"/>
  <c r="AY45" i="1"/>
  <c r="AT62" i="1"/>
  <c r="AU62" i="1"/>
  <c r="AV62" i="1"/>
  <c r="AY62" i="1"/>
  <c r="AT56" i="1"/>
  <c r="AU56" i="1"/>
  <c r="AV56" i="1"/>
  <c r="AY56" i="1"/>
  <c r="AT64" i="1"/>
  <c r="AU64" i="1"/>
  <c r="AV64" i="1"/>
  <c r="AY64" i="1"/>
  <c r="AT24" i="1"/>
  <c r="AU24" i="1"/>
  <c r="AV24" i="1"/>
  <c r="AY24" i="1"/>
  <c r="AT46" i="1"/>
  <c r="AU46" i="1"/>
  <c r="AV46" i="1"/>
  <c r="AY46" i="1"/>
  <c r="AT37" i="1"/>
  <c r="AU37" i="1"/>
  <c r="AV37" i="1"/>
  <c r="AY37" i="1"/>
  <c r="AT51" i="1"/>
  <c r="AU51" i="1"/>
  <c r="AV51" i="1"/>
  <c r="AY51" i="1"/>
  <c r="AT38" i="1"/>
  <c r="AU38" i="1"/>
  <c r="AV38" i="1"/>
  <c r="AY38" i="1"/>
  <c r="AT63" i="1"/>
  <c r="AU63" i="1"/>
  <c r="AV63" i="1"/>
  <c r="AY63" i="1"/>
  <c r="AT32" i="1"/>
  <c r="AU32" i="1"/>
  <c r="AV32" i="1"/>
  <c r="AY32" i="1"/>
  <c r="AT57" i="1"/>
  <c r="AU57" i="1"/>
  <c r="AV57" i="1"/>
  <c r="AY57" i="1"/>
  <c r="AT39" i="1"/>
  <c r="AU39" i="1"/>
  <c r="AV39" i="1"/>
  <c r="AY39" i="1"/>
  <c r="AT47" i="1"/>
  <c r="AU47" i="1"/>
  <c r="AV47" i="1"/>
  <c r="AY47" i="1"/>
  <c r="AT52" i="1"/>
  <c r="AU52" i="1"/>
  <c r="AV52" i="1"/>
  <c r="AY52" i="1"/>
  <c r="AT40" i="1"/>
  <c r="AU40" i="1"/>
  <c r="AV40" i="1"/>
  <c r="AY40" i="1"/>
  <c r="AT25" i="1"/>
  <c r="AU25" i="1"/>
  <c r="AV25" i="1"/>
  <c r="AY25" i="1"/>
  <c r="AT33" i="1"/>
  <c r="AU33" i="1"/>
  <c r="AV33" i="1"/>
  <c r="AY33" i="1"/>
  <c r="AT49" i="1"/>
  <c r="AU49" i="1"/>
  <c r="AV49" i="1"/>
  <c r="AY49" i="1"/>
  <c r="AT26" i="1"/>
  <c r="AU26" i="1"/>
  <c r="AV26" i="1"/>
  <c r="AY26" i="1"/>
  <c r="AT34" i="1"/>
  <c r="AU34" i="1"/>
  <c r="AV34" i="1"/>
  <c r="AY34" i="1"/>
  <c r="AT61" i="1"/>
  <c r="AU61" i="1"/>
  <c r="AV61" i="1"/>
  <c r="AY61" i="1"/>
  <c r="AT59" i="1"/>
  <c r="AU59" i="1"/>
  <c r="AV59" i="1"/>
  <c r="AY59" i="1"/>
  <c r="AT53" i="1"/>
  <c r="AU53" i="1"/>
  <c r="AV53" i="1"/>
  <c r="AY53" i="1"/>
  <c r="AT43" i="1"/>
  <c r="AU43" i="1"/>
  <c r="AV43" i="1"/>
  <c r="AY43" i="1"/>
  <c r="AT27" i="1"/>
  <c r="AU27" i="1"/>
  <c r="AV27" i="1"/>
  <c r="AY27" i="1"/>
  <c r="AT48" i="1"/>
  <c r="AU48" i="1"/>
  <c r="AV48" i="1"/>
  <c r="AY48" i="1"/>
  <c r="AT58" i="1"/>
  <c r="AU58" i="1"/>
  <c r="AV58" i="1"/>
  <c r="AY58" i="1"/>
  <c r="AT44" i="1"/>
  <c r="AU44" i="1"/>
  <c r="AV44" i="1"/>
  <c r="AY44" i="1"/>
  <c r="AT35" i="1"/>
  <c r="AU35" i="1"/>
  <c r="AV35" i="1"/>
  <c r="AY35" i="1"/>
  <c r="AT28" i="1"/>
  <c r="AU28" i="1"/>
  <c r="AV28" i="1"/>
  <c r="AY28" i="1"/>
  <c r="AT41" i="1"/>
  <c r="AU41" i="1"/>
  <c r="AV41" i="1"/>
  <c r="AY41" i="1"/>
  <c r="AT60" i="1"/>
  <c r="AU60" i="1"/>
  <c r="AV60" i="1"/>
  <c r="AY60" i="1"/>
  <c r="AT30" i="1"/>
  <c r="AU30" i="1"/>
  <c r="AV30" i="1"/>
  <c r="AY30" i="1"/>
  <c r="AT29" i="1"/>
  <c r="AU29" i="1"/>
  <c r="AV29" i="1"/>
  <c r="AY29" i="1"/>
  <c r="AT31" i="1"/>
  <c r="AU31" i="1"/>
  <c r="AV31" i="1"/>
  <c r="AY31" i="1"/>
  <c r="AT42" i="1"/>
  <c r="AU42" i="1"/>
  <c r="AV42" i="1"/>
  <c r="AY42" i="1"/>
  <c r="AT54" i="1"/>
  <c r="AU54" i="1"/>
  <c r="AV54" i="1"/>
  <c r="AY54" i="1"/>
  <c r="AT2" i="1"/>
  <c r="AU2" i="1"/>
  <c r="AV2" i="1"/>
  <c r="AY2" i="1"/>
  <c r="AT3" i="1"/>
  <c r="AU3" i="1"/>
  <c r="AV3" i="1"/>
  <c r="AY3" i="1"/>
  <c r="AT4" i="1"/>
  <c r="AU4" i="1"/>
  <c r="AV4" i="1"/>
  <c r="AY4" i="1"/>
  <c r="AT5" i="1"/>
  <c r="AU5" i="1"/>
  <c r="AV5" i="1"/>
  <c r="AY5" i="1"/>
  <c r="AT6" i="1"/>
  <c r="AU6" i="1"/>
  <c r="AV6" i="1"/>
  <c r="AY6" i="1"/>
  <c r="AT7" i="1"/>
  <c r="AU7" i="1"/>
  <c r="AV7" i="1"/>
  <c r="AY7" i="1"/>
  <c r="AT8" i="1"/>
  <c r="AU8" i="1"/>
  <c r="AV8" i="1"/>
  <c r="AY8" i="1"/>
  <c r="AT9" i="1"/>
  <c r="AU9" i="1"/>
  <c r="AV9" i="1"/>
  <c r="AY9" i="1"/>
  <c r="AT10" i="1"/>
  <c r="AU10" i="1"/>
  <c r="AV10" i="1"/>
  <c r="AY10" i="1"/>
  <c r="AT11" i="1"/>
  <c r="AU11" i="1"/>
  <c r="AV11" i="1"/>
  <c r="AY11" i="1"/>
  <c r="AT12" i="1"/>
  <c r="AU12" i="1"/>
  <c r="AV12" i="1"/>
  <c r="AY12" i="1"/>
  <c r="AT13" i="1"/>
  <c r="AU13" i="1"/>
  <c r="AV13" i="1"/>
  <c r="AY13" i="1"/>
  <c r="AT14" i="1"/>
  <c r="AU14" i="1"/>
  <c r="AV14" i="1"/>
  <c r="AY14" i="1"/>
  <c r="AT65" i="1"/>
  <c r="AU65" i="1"/>
  <c r="AV65" i="1"/>
  <c r="AY65" i="1"/>
  <c r="AT66" i="1"/>
  <c r="AU66" i="1"/>
  <c r="AV66" i="1"/>
  <c r="AY66" i="1"/>
  <c r="AT67" i="1"/>
  <c r="AU67" i="1"/>
  <c r="AV67" i="1"/>
  <c r="AY67" i="1"/>
  <c r="AT68" i="1"/>
  <c r="AU68" i="1"/>
  <c r="AV68" i="1"/>
  <c r="AY68" i="1"/>
  <c r="AT69" i="1"/>
  <c r="AU69" i="1"/>
  <c r="AV69" i="1"/>
  <c r="AY69" i="1"/>
  <c r="AT70" i="1"/>
  <c r="AU70" i="1"/>
  <c r="AV70" i="1"/>
  <c r="AY70" i="1"/>
  <c r="AT71" i="1"/>
  <c r="AU71" i="1"/>
  <c r="AV71" i="1"/>
  <c r="AY71" i="1"/>
  <c r="AT72" i="1"/>
  <c r="AU72" i="1"/>
  <c r="AV72" i="1"/>
  <c r="AY72" i="1"/>
  <c r="AT73" i="1"/>
  <c r="AU73" i="1"/>
  <c r="AV73" i="1"/>
  <c r="AY73" i="1"/>
  <c r="AT74" i="1"/>
  <c r="AU74" i="1"/>
  <c r="AV74" i="1"/>
  <c r="AY74" i="1"/>
  <c r="AT75" i="1"/>
  <c r="AU75" i="1"/>
  <c r="AV75" i="1"/>
  <c r="AY75" i="1"/>
  <c r="AT76" i="1"/>
  <c r="AU76" i="1"/>
  <c r="AV76" i="1"/>
  <c r="AY76" i="1"/>
  <c r="AT77" i="1"/>
  <c r="AU77" i="1"/>
  <c r="AV77" i="1"/>
  <c r="AY77" i="1"/>
  <c r="AT78" i="1"/>
  <c r="AU78" i="1"/>
  <c r="AV78" i="1"/>
  <c r="AY78" i="1"/>
  <c r="AT79" i="1"/>
  <c r="AU79" i="1"/>
  <c r="AV79" i="1"/>
  <c r="AY79" i="1"/>
  <c r="AT80" i="1"/>
  <c r="AU80" i="1"/>
  <c r="AV80" i="1"/>
  <c r="AY80" i="1"/>
  <c r="AT81" i="1"/>
  <c r="AU81" i="1"/>
  <c r="AV81" i="1"/>
  <c r="AY81" i="1"/>
  <c r="AT82" i="1"/>
  <c r="AU82" i="1"/>
  <c r="AV82" i="1"/>
  <c r="AY82" i="1"/>
  <c r="AT83" i="1"/>
  <c r="AU83" i="1"/>
  <c r="AV83" i="1"/>
  <c r="AY83" i="1"/>
  <c r="AT84" i="1"/>
  <c r="AU84" i="1"/>
  <c r="AV84" i="1"/>
  <c r="AY84" i="1"/>
  <c r="AT85" i="1"/>
  <c r="AU85" i="1"/>
  <c r="AV85" i="1"/>
  <c r="AY85" i="1"/>
  <c r="AT95" i="1"/>
  <c r="AU95" i="1"/>
  <c r="AV95" i="1"/>
  <c r="AY95" i="1"/>
  <c r="AT96" i="1"/>
  <c r="AU96" i="1"/>
  <c r="AV96" i="1"/>
  <c r="AY96" i="1"/>
  <c r="AT119" i="1"/>
  <c r="AU119" i="1"/>
  <c r="AV119" i="1"/>
  <c r="AY119" i="1"/>
  <c r="AT183" i="1"/>
  <c r="AU183" i="1"/>
  <c r="AV183" i="1"/>
  <c r="AY183" i="1"/>
  <c r="AT185" i="1"/>
  <c r="AU185" i="1"/>
  <c r="AV185" i="1"/>
  <c r="AY185" i="1"/>
  <c r="AT225" i="1"/>
  <c r="AV225" i="1"/>
  <c r="AY225" i="1"/>
  <c r="AT176" i="1"/>
  <c r="AU176" i="1"/>
  <c r="AV176" i="1"/>
  <c r="AY176" i="1"/>
  <c r="AT229" i="1"/>
  <c r="AU229" i="1"/>
  <c r="AV229" i="1"/>
  <c r="AY229" i="1"/>
  <c r="AT230" i="1"/>
  <c r="AU230" i="1"/>
  <c r="AV230" i="1"/>
  <c r="AY230" i="1"/>
  <c r="AT231" i="1"/>
  <c r="AU231" i="1"/>
  <c r="AV231" i="1"/>
  <c r="AY231" i="1"/>
  <c r="AT232" i="1"/>
  <c r="AU232" i="1"/>
  <c r="AV232" i="1"/>
  <c r="AY232" i="1"/>
  <c r="AT233" i="1"/>
  <c r="AU233" i="1"/>
  <c r="AV233" i="1"/>
  <c r="AY233" i="1"/>
  <c r="AT234" i="1"/>
  <c r="AU234" i="1"/>
  <c r="AV234" i="1"/>
  <c r="AY234" i="1"/>
  <c r="AT235" i="1"/>
  <c r="AU235" i="1"/>
  <c r="AV235" i="1"/>
  <c r="AY235" i="1"/>
  <c r="AT236" i="1"/>
  <c r="AU236" i="1"/>
  <c r="AV236" i="1"/>
  <c r="AY236" i="1"/>
  <c r="AT237" i="1"/>
  <c r="AU237" i="1"/>
  <c r="AV237" i="1"/>
  <c r="AY237" i="1"/>
  <c r="AT238" i="1"/>
  <c r="AU238" i="1"/>
  <c r="AV238" i="1"/>
  <c r="AY238" i="1"/>
  <c r="AT239" i="1"/>
  <c r="AU239" i="1"/>
  <c r="AV239" i="1"/>
  <c r="AY239" i="1"/>
  <c r="AT240" i="1"/>
  <c r="AU240" i="1"/>
  <c r="AV240" i="1"/>
  <c r="AY240" i="1"/>
  <c r="AT241" i="1"/>
  <c r="AU241" i="1"/>
  <c r="AV241" i="1"/>
  <c r="AY241" i="1"/>
  <c r="AT242" i="1"/>
  <c r="AU242" i="1"/>
  <c r="AV242" i="1"/>
  <c r="AY242" i="1"/>
  <c r="AT243" i="1"/>
  <c r="AU243" i="1"/>
  <c r="AV243" i="1"/>
  <c r="AY243" i="1"/>
  <c r="AT244" i="1"/>
  <c r="AU244" i="1"/>
  <c r="AV244" i="1"/>
  <c r="AY244" i="1"/>
  <c r="AT245" i="1"/>
  <c r="AU245" i="1"/>
  <c r="AV245" i="1"/>
  <c r="AY245" i="1"/>
  <c r="AT246" i="1"/>
  <c r="AU246" i="1"/>
  <c r="AV246" i="1"/>
  <c r="AY246" i="1"/>
  <c r="AT247" i="1"/>
  <c r="AU247" i="1"/>
  <c r="AV247" i="1"/>
  <c r="AY247" i="1"/>
  <c r="AT248" i="1"/>
  <c r="AU248" i="1"/>
  <c r="AV248" i="1"/>
  <c r="AY248" i="1"/>
  <c r="AT249" i="1"/>
  <c r="AU249" i="1"/>
  <c r="AV249" i="1"/>
  <c r="AY249" i="1"/>
  <c r="AT250" i="1"/>
  <c r="AU250" i="1"/>
  <c r="AV250" i="1"/>
  <c r="AY250" i="1"/>
  <c r="AT251" i="1"/>
  <c r="AU251" i="1"/>
  <c r="AV251" i="1"/>
  <c r="AY251" i="1"/>
  <c r="AT252" i="1"/>
  <c r="AU252" i="1"/>
  <c r="AV252" i="1"/>
  <c r="AY252" i="1"/>
  <c r="AT253" i="1"/>
  <c r="AU253" i="1"/>
  <c r="AV253" i="1"/>
  <c r="AY253" i="1"/>
  <c r="AT254" i="1"/>
  <c r="AU254" i="1"/>
  <c r="AV254" i="1"/>
  <c r="AY254" i="1"/>
  <c r="AT255" i="1"/>
  <c r="AU255" i="1"/>
  <c r="AV255" i="1"/>
  <c r="AY255" i="1"/>
  <c r="AT256" i="1"/>
  <c r="AU256" i="1"/>
  <c r="AV256" i="1"/>
  <c r="AY256" i="1"/>
  <c r="AT257" i="1"/>
  <c r="AU257" i="1"/>
  <c r="AV257" i="1"/>
  <c r="AY257" i="1"/>
  <c r="AT258" i="1"/>
  <c r="AU258" i="1"/>
  <c r="AV258" i="1"/>
  <c r="AY258" i="1"/>
  <c r="AT259" i="1"/>
  <c r="AU259" i="1"/>
  <c r="AV259" i="1"/>
  <c r="AY259" i="1"/>
  <c r="AT178" i="1"/>
  <c r="AU178" i="1"/>
  <c r="AV178" i="1"/>
  <c r="AY178" i="1"/>
  <c r="AT179" i="1"/>
  <c r="AU179" i="1"/>
  <c r="AV179" i="1"/>
  <c r="AY179" i="1"/>
  <c r="AT180" i="1"/>
  <c r="AU180" i="1"/>
  <c r="AV180" i="1"/>
  <c r="AY180" i="1"/>
  <c r="AT181" i="1"/>
  <c r="AU181" i="1"/>
  <c r="AV181" i="1"/>
  <c r="AY181" i="1"/>
  <c r="AT182" i="1"/>
  <c r="AU182" i="1"/>
  <c r="AV182" i="1"/>
  <c r="AY182" i="1"/>
  <c r="AT138" i="1"/>
  <c r="AU138" i="1"/>
  <c r="AV138" i="1"/>
  <c r="AY138" i="1"/>
  <c r="AT184" i="1"/>
  <c r="AU184" i="1"/>
  <c r="AV184" i="1"/>
  <c r="AY184" i="1"/>
  <c r="AT186" i="1"/>
  <c r="AU186" i="1"/>
  <c r="AV186" i="1"/>
  <c r="AY186" i="1"/>
  <c r="AT188" i="1"/>
  <c r="AU188" i="1"/>
  <c r="AV188" i="1"/>
  <c r="AY188" i="1"/>
  <c r="AT189" i="1"/>
  <c r="AU189" i="1"/>
  <c r="AV189" i="1"/>
  <c r="AY189" i="1"/>
  <c r="AT190" i="1"/>
  <c r="AU190" i="1"/>
  <c r="AV190" i="1"/>
  <c r="AY190" i="1"/>
  <c r="AT191" i="1"/>
  <c r="AU191" i="1"/>
  <c r="AV191" i="1"/>
  <c r="AY191" i="1"/>
  <c r="AT192" i="1"/>
  <c r="AU192" i="1"/>
  <c r="AV192" i="1"/>
  <c r="AY192" i="1"/>
  <c r="AT195" i="1"/>
  <c r="AU195" i="1"/>
  <c r="AV195" i="1"/>
  <c r="AY195" i="1"/>
  <c r="AT196" i="1"/>
  <c r="AU196" i="1"/>
  <c r="AV196" i="1"/>
  <c r="AY196" i="1"/>
  <c r="AT197" i="1"/>
  <c r="AV197" i="1"/>
  <c r="AY197" i="1"/>
  <c r="AT198" i="1"/>
  <c r="AU198" i="1"/>
  <c r="AV198" i="1"/>
  <c r="AY198" i="1"/>
  <c r="AT199" i="1"/>
  <c r="AV199" i="1"/>
  <c r="AY199" i="1"/>
  <c r="AT200" i="1"/>
  <c r="AV200" i="1"/>
  <c r="AY200" i="1"/>
  <c r="AT201" i="1"/>
  <c r="AU201" i="1"/>
  <c r="AV201" i="1"/>
  <c r="AY201" i="1"/>
  <c r="AT203" i="1"/>
  <c r="AV203" i="1"/>
  <c r="AY203" i="1"/>
  <c r="AT204" i="1"/>
  <c r="AU204" i="1"/>
  <c r="AV204" i="1"/>
  <c r="AY204" i="1"/>
  <c r="AT205" i="1"/>
  <c r="AV205" i="1"/>
  <c r="AY205" i="1"/>
  <c r="AT206" i="1"/>
  <c r="AU206" i="1"/>
  <c r="AV206" i="1"/>
  <c r="AY206" i="1"/>
  <c r="AT207" i="1"/>
  <c r="AU207" i="1"/>
  <c r="AV207" i="1"/>
  <c r="AY207" i="1"/>
  <c r="AT210" i="1"/>
  <c r="AU210" i="1"/>
  <c r="AV210" i="1"/>
  <c r="AY210" i="1"/>
  <c r="AT211" i="1"/>
  <c r="AU211" i="1"/>
  <c r="AV211" i="1"/>
  <c r="AY211" i="1"/>
  <c r="AT213" i="1"/>
  <c r="AU213" i="1"/>
  <c r="AV213" i="1"/>
  <c r="AY213" i="1"/>
  <c r="AT214" i="1"/>
  <c r="AU214" i="1"/>
  <c r="AV214" i="1"/>
  <c r="AY214" i="1"/>
  <c r="AT217" i="1"/>
  <c r="AU217" i="1"/>
  <c r="AV217" i="1"/>
  <c r="AY217" i="1"/>
  <c r="AT218" i="1"/>
  <c r="AV218" i="1"/>
  <c r="AY218" i="1"/>
  <c r="AT220" i="1"/>
  <c r="AU220" i="1"/>
  <c r="AV220" i="1"/>
  <c r="AY220" i="1"/>
  <c r="AT221" i="1"/>
  <c r="AU221" i="1"/>
  <c r="AV221" i="1"/>
  <c r="AY221" i="1"/>
  <c r="AT224" i="1"/>
  <c r="AU224" i="1"/>
  <c r="AV224" i="1"/>
  <c r="AY224" i="1"/>
  <c r="AT226" i="1"/>
  <c r="AV226" i="1"/>
  <c r="AY226" i="1"/>
  <c r="AT222" i="1"/>
  <c r="AV222" i="1"/>
  <c r="AY222" i="1"/>
  <c r="AT208" i="1"/>
  <c r="AU208" i="1"/>
  <c r="AV208" i="1"/>
  <c r="AY208" i="1"/>
  <c r="AT86" i="1"/>
  <c r="AU86" i="1"/>
  <c r="AV86" i="1"/>
  <c r="AY86" i="1"/>
  <c r="AT87" i="1"/>
  <c r="AU87" i="1"/>
  <c r="AV87" i="1"/>
  <c r="AY87" i="1"/>
  <c r="AT88" i="1"/>
  <c r="AU88" i="1"/>
  <c r="AV88" i="1"/>
  <c r="AY88" i="1"/>
  <c r="AT177" i="1"/>
  <c r="AU177" i="1"/>
  <c r="AV177" i="1"/>
  <c r="AY177" i="1"/>
  <c r="AT89" i="1"/>
  <c r="AU89" i="1"/>
  <c r="AV89" i="1"/>
  <c r="AY89" i="1"/>
  <c r="AT90" i="1"/>
  <c r="AU90" i="1"/>
  <c r="AV90" i="1"/>
  <c r="AY90" i="1"/>
  <c r="AT91" i="1"/>
  <c r="AU91" i="1"/>
  <c r="AV91" i="1"/>
  <c r="AY91" i="1"/>
  <c r="AT92" i="1"/>
  <c r="AU92" i="1"/>
  <c r="AV92" i="1"/>
  <c r="AY92" i="1"/>
  <c r="AT93" i="1"/>
  <c r="AU93" i="1"/>
  <c r="AV93" i="1"/>
  <c r="AY93" i="1"/>
  <c r="AT94" i="1"/>
  <c r="AU94" i="1"/>
  <c r="AV94" i="1"/>
  <c r="AY94" i="1"/>
  <c r="AT97" i="1"/>
  <c r="AU97" i="1"/>
  <c r="AV97" i="1"/>
  <c r="AY97" i="1"/>
  <c r="AT98" i="1"/>
  <c r="AU98" i="1"/>
  <c r="AV98" i="1"/>
  <c r="AY98" i="1"/>
  <c r="AT99" i="1"/>
  <c r="AU99" i="1"/>
  <c r="AV99" i="1"/>
  <c r="AY99" i="1"/>
  <c r="AT100" i="1"/>
  <c r="AU100" i="1"/>
  <c r="AV100" i="1"/>
  <c r="AY100" i="1"/>
  <c r="AT101" i="1"/>
  <c r="AU101" i="1"/>
  <c r="AV101" i="1"/>
  <c r="AY101" i="1"/>
  <c r="AT102" i="1"/>
  <c r="AU102" i="1"/>
  <c r="AV102" i="1"/>
  <c r="AY102" i="1"/>
  <c r="AT103" i="1"/>
  <c r="AU103" i="1"/>
  <c r="AV103" i="1"/>
  <c r="AY103" i="1"/>
  <c r="AT104" i="1"/>
  <c r="AU104" i="1"/>
  <c r="AV104" i="1"/>
  <c r="AY104" i="1"/>
  <c r="AT105" i="1"/>
  <c r="AU105" i="1"/>
  <c r="AV105" i="1"/>
  <c r="AY105" i="1"/>
  <c r="AT106" i="1"/>
  <c r="AU106" i="1"/>
  <c r="AV106" i="1"/>
  <c r="AY106" i="1"/>
  <c r="AT107" i="1"/>
  <c r="AU107" i="1"/>
  <c r="AV107" i="1"/>
  <c r="AY107" i="1"/>
  <c r="AT108" i="1"/>
  <c r="AU108" i="1"/>
  <c r="AV108" i="1"/>
  <c r="AY108" i="1"/>
  <c r="AT110" i="1"/>
  <c r="AU110" i="1"/>
  <c r="AV110" i="1"/>
  <c r="AY110" i="1"/>
  <c r="AT109" i="1"/>
  <c r="AU109" i="1"/>
  <c r="AV109" i="1"/>
  <c r="AY109" i="1"/>
  <c r="AT111" i="1"/>
  <c r="AU111" i="1"/>
  <c r="AV111" i="1"/>
  <c r="AY111" i="1"/>
  <c r="AT112" i="1"/>
  <c r="AU112" i="1"/>
  <c r="AV112" i="1"/>
  <c r="AY112" i="1"/>
  <c r="AT113" i="1"/>
  <c r="AU113" i="1"/>
  <c r="AV113" i="1"/>
  <c r="AY113" i="1"/>
  <c r="AT114" i="1"/>
  <c r="AU114" i="1"/>
  <c r="AV114" i="1"/>
  <c r="AY114" i="1"/>
  <c r="AT115" i="1"/>
  <c r="AU115" i="1"/>
  <c r="AV115" i="1"/>
  <c r="AY115" i="1"/>
  <c r="AT116" i="1"/>
  <c r="AU116" i="1"/>
  <c r="AV116" i="1"/>
  <c r="AY116" i="1"/>
  <c r="AT117" i="1"/>
  <c r="AU117" i="1"/>
  <c r="AV117" i="1"/>
  <c r="AY117" i="1"/>
  <c r="AT118" i="1"/>
  <c r="AU118" i="1"/>
  <c r="AV118" i="1"/>
  <c r="AY118" i="1"/>
  <c r="AT120" i="1"/>
  <c r="AU120" i="1"/>
  <c r="AV120" i="1"/>
  <c r="AY120" i="1"/>
  <c r="AT121" i="1"/>
  <c r="AU121" i="1"/>
  <c r="AV121" i="1"/>
  <c r="AY121" i="1"/>
  <c r="AT122" i="1"/>
  <c r="AU122" i="1"/>
  <c r="AV122" i="1"/>
  <c r="AY122" i="1"/>
  <c r="AT123" i="1"/>
  <c r="AU123" i="1"/>
  <c r="AV123" i="1"/>
  <c r="AY123" i="1"/>
  <c r="AT124" i="1"/>
  <c r="AU124" i="1"/>
  <c r="AV124" i="1"/>
  <c r="AY124" i="1"/>
  <c r="AT125" i="1"/>
  <c r="AU125" i="1"/>
  <c r="AV125" i="1"/>
  <c r="AY125" i="1"/>
  <c r="AT126" i="1"/>
  <c r="AU126" i="1"/>
  <c r="AV126" i="1"/>
  <c r="AY126" i="1"/>
  <c r="AT127" i="1"/>
  <c r="AU127" i="1"/>
  <c r="AV127" i="1"/>
  <c r="AY127" i="1"/>
  <c r="AT128" i="1"/>
  <c r="AU128" i="1"/>
  <c r="AV128" i="1"/>
  <c r="AY128" i="1"/>
  <c r="AT129" i="1"/>
  <c r="AU129" i="1"/>
  <c r="AV129" i="1"/>
  <c r="AY129" i="1"/>
  <c r="AT130" i="1"/>
  <c r="AU130" i="1"/>
  <c r="AV130" i="1"/>
  <c r="AY130" i="1"/>
  <c r="AT131" i="1"/>
  <c r="AU131" i="1"/>
  <c r="AV131" i="1"/>
  <c r="AY131" i="1"/>
  <c r="AT132" i="1"/>
  <c r="AU132" i="1"/>
  <c r="AV132" i="1"/>
  <c r="AY132" i="1"/>
  <c r="AT133" i="1"/>
  <c r="AU133" i="1"/>
  <c r="AV133" i="1"/>
  <c r="AY133" i="1"/>
  <c r="AT134" i="1"/>
  <c r="AU134" i="1"/>
  <c r="AV134" i="1"/>
  <c r="AY134" i="1"/>
  <c r="AT135" i="1"/>
  <c r="AU135" i="1"/>
  <c r="AV135" i="1"/>
  <c r="AY135" i="1"/>
  <c r="AT136" i="1"/>
  <c r="AU136" i="1"/>
  <c r="AV136" i="1"/>
  <c r="AY136" i="1"/>
  <c r="AT137" i="1"/>
  <c r="AU137" i="1"/>
  <c r="AV137" i="1"/>
  <c r="AY137" i="1"/>
  <c r="AT139" i="1"/>
  <c r="AU139" i="1"/>
  <c r="AV139" i="1"/>
  <c r="AY139" i="1"/>
  <c r="AT140" i="1"/>
  <c r="AU140" i="1"/>
  <c r="AV140" i="1"/>
  <c r="AY140" i="1"/>
  <c r="AT141" i="1"/>
  <c r="AU141" i="1"/>
  <c r="AV141" i="1"/>
  <c r="AY141" i="1"/>
  <c r="AT142" i="1"/>
  <c r="AV142" i="1"/>
  <c r="AY142" i="1"/>
  <c r="AT143" i="1"/>
  <c r="AU143" i="1"/>
  <c r="AV143" i="1"/>
  <c r="AY143" i="1"/>
  <c r="AT144" i="1"/>
  <c r="AU144" i="1"/>
  <c r="AV144" i="1"/>
  <c r="AY144" i="1"/>
  <c r="AT145" i="1"/>
  <c r="AU145" i="1"/>
  <c r="AV145" i="1"/>
  <c r="AY145" i="1"/>
  <c r="AT146" i="1"/>
  <c r="AU146" i="1"/>
  <c r="AV146" i="1"/>
  <c r="AY146" i="1"/>
  <c r="AT147" i="1"/>
  <c r="AU147" i="1"/>
  <c r="AV147" i="1"/>
  <c r="AY147" i="1"/>
  <c r="AT148" i="1"/>
  <c r="AV148" i="1"/>
  <c r="AY148" i="1"/>
  <c r="AT149" i="1"/>
  <c r="AU149" i="1"/>
  <c r="AV149" i="1"/>
  <c r="AY149" i="1"/>
  <c r="AT150" i="1"/>
  <c r="AU150" i="1"/>
  <c r="AV150" i="1"/>
  <c r="AY150" i="1"/>
  <c r="AT151" i="1"/>
  <c r="AU151" i="1"/>
  <c r="AV151" i="1"/>
  <c r="AY151" i="1"/>
  <c r="AT152" i="1"/>
  <c r="AU152" i="1"/>
  <c r="AV152" i="1"/>
  <c r="AY152" i="1"/>
  <c r="AT153" i="1"/>
  <c r="AU153" i="1"/>
  <c r="AV153" i="1"/>
  <c r="AY153" i="1"/>
  <c r="AT154" i="1"/>
  <c r="AU154" i="1"/>
  <c r="AV154" i="1"/>
  <c r="AY154" i="1"/>
  <c r="AT155" i="1"/>
  <c r="AU155" i="1"/>
  <c r="AV155" i="1"/>
  <c r="AY155" i="1"/>
  <c r="AT156" i="1"/>
  <c r="AU156" i="1"/>
  <c r="AV156" i="1"/>
  <c r="AY156" i="1"/>
  <c r="AT157" i="1"/>
  <c r="AU157" i="1"/>
  <c r="AV157" i="1"/>
  <c r="AY157" i="1"/>
  <c r="AT158" i="1"/>
  <c r="AU158" i="1"/>
  <c r="AV158" i="1"/>
  <c r="AY158" i="1"/>
  <c r="AT159" i="1"/>
  <c r="AU159" i="1"/>
  <c r="AV159" i="1"/>
  <c r="AY159" i="1"/>
  <c r="AT160" i="1"/>
  <c r="AU160" i="1"/>
  <c r="AV160" i="1"/>
  <c r="AY160" i="1"/>
  <c r="AT161" i="1"/>
  <c r="AU161" i="1"/>
  <c r="AV161" i="1"/>
  <c r="AY161" i="1"/>
  <c r="AT162" i="1"/>
  <c r="AU162" i="1"/>
  <c r="AV162" i="1"/>
  <c r="AY162" i="1"/>
  <c r="AT163" i="1"/>
  <c r="AU163" i="1"/>
  <c r="AV163" i="1"/>
  <c r="AY163" i="1"/>
  <c r="AT164" i="1"/>
  <c r="AU164" i="1"/>
  <c r="AV164" i="1"/>
  <c r="AY164" i="1"/>
  <c r="AT165" i="1"/>
  <c r="AU165" i="1"/>
  <c r="AV165" i="1"/>
  <c r="AY165" i="1"/>
  <c r="AT166" i="1"/>
  <c r="AU166" i="1"/>
  <c r="AV166" i="1"/>
  <c r="AY166" i="1"/>
  <c r="AT167" i="1"/>
  <c r="AU167" i="1"/>
  <c r="AV167" i="1"/>
  <c r="AY167" i="1"/>
  <c r="AT168" i="1"/>
  <c r="AU168" i="1"/>
  <c r="AV168" i="1"/>
  <c r="AY168" i="1"/>
  <c r="AT169" i="1"/>
  <c r="AU169" i="1"/>
  <c r="AV169" i="1"/>
  <c r="AY169" i="1"/>
  <c r="AT170" i="1"/>
  <c r="AU170" i="1"/>
  <c r="AV170" i="1"/>
  <c r="AY170" i="1"/>
  <c r="AT171" i="1"/>
  <c r="AU171" i="1"/>
  <c r="AV171" i="1"/>
  <c r="AY171" i="1"/>
  <c r="AT172" i="1"/>
  <c r="AU172" i="1"/>
  <c r="AV172" i="1"/>
  <c r="AY172" i="1"/>
  <c r="AT173" i="1"/>
  <c r="AU173" i="1"/>
  <c r="AV173" i="1"/>
  <c r="AY173" i="1"/>
  <c r="AT174" i="1"/>
  <c r="AU174" i="1"/>
  <c r="AV174" i="1"/>
  <c r="AY174" i="1"/>
  <c r="AT175" i="1"/>
  <c r="AU175" i="1"/>
  <c r="AV175" i="1"/>
  <c r="AY175" i="1"/>
  <c r="AV227" i="1"/>
  <c r="AU227" i="1"/>
  <c r="AT227" i="1"/>
  <c r="AY227" i="1"/>
  <c r="BA174" i="1" l="1"/>
  <c r="BB174" i="1"/>
  <c r="BB162" i="1"/>
  <c r="BA162" i="1"/>
  <c r="BA224" i="1"/>
  <c r="BB224" i="1"/>
  <c r="BB220" i="1"/>
  <c r="BA220" i="1"/>
  <c r="BA183" i="1"/>
  <c r="BB183" i="1"/>
  <c r="BA83" i="1"/>
  <c r="BB83" i="1"/>
  <c r="BA77" i="1"/>
  <c r="BB77" i="1"/>
  <c r="BB71" i="1"/>
  <c r="BA71" i="1"/>
  <c r="BA67" i="1"/>
  <c r="BB67" i="1"/>
  <c r="BA13" i="1"/>
  <c r="BB13" i="1"/>
  <c r="BA9" i="1"/>
  <c r="BB9" i="1"/>
  <c r="BA5" i="1"/>
  <c r="BB5" i="1"/>
  <c r="BA3" i="1"/>
  <c r="BB3" i="1"/>
  <c r="BB54" i="1"/>
  <c r="BA54" i="1"/>
  <c r="BB31" i="1"/>
  <c r="BA31" i="1"/>
  <c r="BB30" i="1"/>
  <c r="BA30" i="1"/>
  <c r="BB41" i="1"/>
  <c r="BA41" i="1"/>
  <c r="BB58" i="1"/>
  <c r="BA58" i="1"/>
  <c r="BB27" i="1"/>
  <c r="BA27" i="1"/>
  <c r="BA53" i="1"/>
  <c r="BB53" i="1"/>
  <c r="BA61" i="1"/>
  <c r="BB61" i="1"/>
  <c r="BB26" i="1"/>
  <c r="BA26" i="1"/>
  <c r="BB33" i="1"/>
  <c r="BA33" i="1"/>
  <c r="BB47" i="1"/>
  <c r="BA47" i="1"/>
  <c r="BB57" i="1"/>
  <c r="BA57" i="1"/>
  <c r="BB63" i="1"/>
  <c r="BA63" i="1"/>
  <c r="BA51" i="1"/>
  <c r="BB51" i="1"/>
  <c r="BA46" i="1"/>
  <c r="BB46" i="1"/>
  <c r="BB64" i="1"/>
  <c r="BA64" i="1"/>
  <c r="BB62" i="1"/>
  <c r="BA62" i="1"/>
  <c r="BB19" i="1"/>
  <c r="BA19" i="1"/>
  <c r="BA22" i="1"/>
  <c r="BB22" i="1"/>
  <c r="BB23" i="1"/>
  <c r="BA23" i="1"/>
  <c r="BB50" i="1"/>
  <c r="BA50" i="1"/>
  <c r="BB228" i="1"/>
  <c r="BA228" i="1"/>
  <c r="BA15" i="1"/>
  <c r="BB15" i="1"/>
  <c r="BA166" i="1"/>
  <c r="BB166" i="1"/>
  <c r="BB156" i="1"/>
  <c r="BA156" i="1"/>
  <c r="BB96" i="1"/>
  <c r="BA96" i="1"/>
  <c r="BA85" i="1"/>
  <c r="BB85" i="1"/>
  <c r="BB81" i="1"/>
  <c r="BA81" i="1"/>
  <c r="BB79" i="1"/>
  <c r="BA79" i="1"/>
  <c r="BA75" i="1"/>
  <c r="BB75" i="1"/>
  <c r="BB73" i="1"/>
  <c r="BA73" i="1"/>
  <c r="BA69" i="1"/>
  <c r="BB69" i="1"/>
  <c r="BB65" i="1"/>
  <c r="BA65" i="1"/>
  <c r="BA11" i="1"/>
  <c r="BB11" i="1"/>
  <c r="BA7" i="1"/>
  <c r="BB7" i="1"/>
  <c r="BA35" i="1"/>
  <c r="BB35" i="1"/>
  <c r="BA141" i="1"/>
  <c r="BB141" i="1"/>
  <c r="BB139" i="1"/>
  <c r="BA139" i="1"/>
  <c r="BB136" i="1"/>
  <c r="BA136" i="1"/>
  <c r="BA134" i="1"/>
  <c r="BB134" i="1"/>
  <c r="BB132" i="1"/>
  <c r="BA132" i="1"/>
  <c r="BB130" i="1"/>
  <c r="BA130" i="1"/>
  <c r="BB128" i="1"/>
  <c r="BA128" i="1"/>
  <c r="BA126" i="1"/>
  <c r="BB126" i="1"/>
  <c r="BB124" i="1"/>
  <c r="BA124" i="1"/>
  <c r="BA122" i="1"/>
  <c r="BB122" i="1"/>
  <c r="BB120" i="1"/>
  <c r="BA120" i="1"/>
  <c r="BA117" i="1"/>
  <c r="BB117" i="1"/>
  <c r="BA115" i="1"/>
  <c r="BB115" i="1"/>
  <c r="BB113" i="1"/>
  <c r="BA113" i="1"/>
  <c r="BB111" i="1"/>
  <c r="BA111" i="1"/>
  <c r="BB110" i="1"/>
  <c r="BA110" i="1"/>
  <c r="BA107" i="1"/>
  <c r="BB107" i="1"/>
  <c r="BB105" i="1"/>
  <c r="BA105" i="1"/>
  <c r="BB103" i="1"/>
  <c r="BA103" i="1"/>
  <c r="BA101" i="1"/>
  <c r="BB101" i="1"/>
  <c r="BA99" i="1"/>
  <c r="BB99" i="1"/>
  <c r="BB97" i="1"/>
  <c r="BA97" i="1"/>
  <c r="BB93" i="1"/>
  <c r="BA93" i="1"/>
  <c r="BA91" i="1"/>
  <c r="BB91" i="1"/>
  <c r="BA89" i="1"/>
  <c r="BB89" i="1"/>
  <c r="BA88" i="1"/>
  <c r="BB88" i="1"/>
  <c r="BB86" i="1"/>
  <c r="BA86" i="1"/>
  <c r="BA195" i="1"/>
  <c r="BB195" i="1"/>
  <c r="BA191" i="1"/>
  <c r="BB191" i="1"/>
  <c r="BB189" i="1"/>
  <c r="BA189" i="1"/>
  <c r="BB186" i="1"/>
  <c r="BA186" i="1"/>
  <c r="BB138" i="1"/>
  <c r="BA138" i="1"/>
  <c r="BB179" i="1"/>
  <c r="BA179" i="1"/>
  <c r="BB259" i="1"/>
  <c r="BA259" i="1"/>
  <c r="BA257" i="1"/>
  <c r="BB257" i="1"/>
  <c r="BA255" i="1"/>
  <c r="BB255" i="1"/>
  <c r="BB253" i="1"/>
  <c r="BA253" i="1"/>
  <c r="BB251" i="1"/>
  <c r="BA251" i="1"/>
  <c r="BA249" i="1"/>
  <c r="BB249" i="1"/>
  <c r="BA247" i="1"/>
  <c r="BB247" i="1"/>
  <c r="BB245" i="1"/>
  <c r="BA245" i="1"/>
  <c r="BB243" i="1"/>
  <c r="BA243" i="1"/>
  <c r="BA241" i="1"/>
  <c r="BB241" i="1"/>
  <c r="BA239" i="1"/>
  <c r="BB239" i="1"/>
  <c r="BB237" i="1"/>
  <c r="BA237" i="1"/>
  <c r="BB235" i="1"/>
  <c r="BA235" i="1"/>
  <c r="BA233" i="1"/>
  <c r="BB233" i="1"/>
  <c r="BA231" i="1"/>
  <c r="BB231" i="1"/>
  <c r="BB229" i="1"/>
  <c r="BA229" i="1"/>
  <c r="BB172" i="1"/>
  <c r="BA172" i="1"/>
  <c r="BB160" i="1"/>
  <c r="BA160" i="1"/>
  <c r="BB147" i="1"/>
  <c r="BA147" i="1"/>
  <c r="BB145" i="1"/>
  <c r="BA145" i="1"/>
  <c r="BB143" i="1"/>
  <c r="BA143" i="1"/>
  <c r="BA211" i="1"/>
  <c r="BB211" i="1"/>
  <c r="BB207" i="1"/>
  <c r="BA207" i="1"/>
  <c r="BA214" i="1"/>
  <c r="BB214" i="1"/>
  <c r="BB175" i="1"/>
  <c r="BA175" i="1"/>
  <c r="BA173" i="1"/>
  <c r="BB173" i="1"/>
  <c r="BB171" i="1"/>
  <c r="BA171" i="1"/>
  <c r="BB169" i="1"/>
  <c r="BA169" i="1"/>
  <c r="BB167" i="1"/>
  <c r="BA167" i="1"/>
  <c r="BA165" i="1"/>
  <c r="BB165" i="1"/>
  <c r="BB163" i="1"/>
  <c r="BA163" i="1"/>
  <c r="BB161" i="1"/>
  <c r="BA161" i="1"/>
  <c r="BB159" i="1"/>
  <c r="BA159" i="1"/>
  <c r="BA157" i="1"/>
  <c r="BB157" i="1"/>
  <c r="BB155" i="1"/>
  <c r="BA155" i="1"/>
  <c r="BB153" i="1"/>
  <c r="BA153" i="1"/>
  <c r="BB151" i="1"/>
  <c r="BA151" i="1"/>
  <c r="BA149" i="1"/>
  <c r="BB149" i="1"/>
  <c r="BB221" i="1"/>
  <c r="BA221" i="1"/>
  <c r="BB168" i="1"/>
  <c r="BA168" i="1"/>
  <c r="BB158" i="1"/>
  <c r="BA158" i="1"/>
  <c r="BB152" i="1"/>
  <c r="BA152" i="1"/>
  <c r="BA201" i="1"/>
  <c r="BB201" i="1"/>
  <c r="BB185" i="1"/>
  <c r="BA185" i="1"/>
  <c r="BA95" i="1"/>
  <c r="BB95" i="1"/>
  <c r="BB84" i="1"/>
  <c r="BA84" i="1"/>
  <c r="BA82" i="1"/>
  <c r="BB82" i="1"/>
  <c r="BA78" i="1"/>
  <c r="BB78" i="1"/>
  <c r="BA76" i="1"/>
  <c r="BB76" i="1"/>
  <c r="BA74" i="1"/>
  <c r="BB74" i="1"/>
  <c r="BB72" i="1"/>
  <c r="BA72" i="1"/>
  <c r="BA70" i="1"/>
  <c r="BB70" i="1"/>
  <c r="BA68" i="1"/>
  <c r="BB68" i="1"/>
  <c r="BB66" i="1"/>
  <c r="BA66" i="1"/>
  <c r="BA12" i="1"/>
  <c r="BB12" i="1"/>
  <c r="BA8" i="1"/>
  <c r="BB8" i="1"/>
  <c r="BA4" i="1"/>
  <c r="BB4" i="1"/>
  <c r="BB42" i="1"/>
  <c r="BA42" i="1"/>
  <c r="BA60" i="1"/>
  <c r="BB60" i="1"/>
  <c r="BA44" i="1"/>
  <c r="BB44" i="1"/>
  <c r="BA43" i="1"/>
  <c r="BB43" i="1"/>
  <c r="BA34" i="1"/>
  <c r="BB34" i="1"/>
  <c r="BA52" i="1"/>
  <c r="BB52" i="1"/>
  <c r="BB32" i="1"/>
  <c r="BA32" i="1"/>
  <c r="BA37" i="1"/>
  <c r="BB37" i="1"/>
  <c r="BB56" i="1"/>
  <c r="BA56" i="1"/>
  <c r="BA21" i="1"/>
  <c r="BB21" i="1"/>
  <c r="BB55" i="1"/>
  <c r="BA55" i="1"/>
  <c r="BB17" i="1"/>
  <c r="BA17" i="1"/>
  <c r="BB140" i="1"/>
  <c r="BA140" i="1"/>
  <c r="BB137" i="1"/>
  <c r="BA137" i="1"/>
  <c r="BB135" i="1"/>
  <c r="BA135" i="1"/>
  <c r="BA133" i="1"/>
  <c r="BB133" i="1"/>
  <c r="BB131" i="1"/>
  <c r="BA131" i="1"/>
  <c r="BB129" i="1"/>
  <c r="BA129" i="1"/>
  <c r="BB127" i="1"/>
  <c r="BA127" i="1"/>
  <c r="BA125" i="1"/>
  <c r="BB125" i="1"/>
  <c r="BA123" i="1"/>
  <c r="BB123" i="1"/>
  <c r="BA121" i="1"/>
  <c r="BB121" i="1"/>
  <c r="BB118" i="1"/>
  <c r="BA118" i="1"/>
  <c r="BA116" i="1"/>
  <c r="BB116" i="1"/>
  <c r="BA114" i="1"/>
  <c r="BB114" i="1"/>
  <c r="BB112" i="1"/>
  <c r="BA112" i="1"/>
  <c r="BA109" i="1"/>
  <c r="BB109" i="1"/>
  <c r="BA108" i="1"/>
  <c r="BB108" i="1"/>
  <c r="BA106" i="1"/>
  <c r="BB106" i="1"/>
  <c r="BB104" i="1"/>
  <c r="BA104" i="1"/>
  <c r="BA102" i="1"/>
  <c r="BB102" i="1"/>
  <c r="BA100" i="1"/>
  <c r="BB100" i="1"/>
  <c r="BA98" i="1"/>
  <c r="BB98" i="1"/>
  <c r="BB94" i="1"/>
  <c r="BA94" i="1"/>
  <c r="BB92" i="1"/>
  <c r="BA92" i="1"/>
  <c r="BA90" i="1"/>
  <c r="BB90" i="1"/>
  <c r="BB177" i="1"/>
  <c r="BA177" i="1"/>
  <c r="BB87" i="1"/>
  <c r="BA87" i="1"/>
  <c r="BB208" i="1"/>
  <c r="BA208" i="1"/>
  <c r="BA204" i="1"/>
  <c r="BB204" i="1"/>
  <c r="BB196" i="1"/>
  <c r="BA196" i="1"/>
  <c r="BA192" i="1"/>
  <c r="BB192" i="1"/>
  <c r="BA190" i="1"/>
  <c r="BB190" i="1"/>
  <c r="BB188" i="1"/>
  <c r="BA188" i="1"/>
  <c r="BA184" i="1"/>
  <c r="BB184" i="1"/>
  <c r="BA182" i="1"/>
  <c r="BB182" i="1"/>
  <c r="BB180" i="1"/>
  <c r="BA180" i="1"/>
  <c r="BB178" i="1"/>
  <c r="BA178" i="1"/>
  <c r="BA258" i="1"/>
  <c r="BB258" i="1"/>
  <c r="BA256" i="1"/>
  <c r="BB256" i="1"/>
  <c r="BA254" i="1"/>
  <c r="BB254" i="1"/>
  <c r="BB252" i="1"/>
  <c r="BA252" i="1"/>
  <c r="BB250" i="1"/>
  <c r="BA250" i="1"/>
  <c r="BA248" i="1"/>
  <c r="BB248" i="1"/>
  <c r="BB244" i="1"/>
  <c r="BA244" i="1"/>
  <c r="BA242" i="1"/>
  <c r="BB242" i="1"/>
  <c r="BA240" i="1"/>
  <c r="BB240" i="1"/>
  <c r="BB238" i="1"/>
  <c r="BA238" i="1"/>
  <c r="BB236" i="1"/>
  <c r="BA236" i="1"/>
  <c r="BB234" i="1"/>
  <c r="BA234" i="1"/>
  <c r="BA232" i="1"/>
  <c r="BB232" i="1"/>
  <c r="BA230" i="1"/>
  <c r="BB230" i="1"/>
  <c r="BB176" i="1"/>
  <c r="BA176" i="1"/>
  <c r="BB170" i="1"/>
  <c r="BA170" i="1"/>
  <c r="BB164" i="1"/>
  <c r="BA164" i="1"/>
  <c r="BB154" i="1"/>
  <c r="BA154" i="1"/>
  <c r="BA150" i="1"/>
  <c r="BB150" i="1"/>
  <c r="BB119" i="1"/>
  <c r="BA119" i="1"/>
  <c r="BB80" i="1"/>
  <c r="BA80" i="1"/>
  <c r="BB14" i="1"/>
  <c r="BA14" i="1"/>
  <c r="BB10" i="1"/>
  <c r="BA10" i="1"/>
  <c r="BB6" i="1"/>
  <c r="BA6" i="1"/>
  <c r="BA29" i="1"/>
  <c r="BB29" i="1"/>
  <c r="BA28" i="1"/>
  <c r="BB28" i="1"/>
  <c r="BB48" i="1"/>
  <c r="BA48" i="1"/>
  <c r="BA59" i="1"/>
  <c r="BB59" i="1"/>
  <c r="BB49" i="1"/>
  <c r="BA49" i="1"/>
  <c r="BB25" i="1"/>
  <c r="BA25" i="1"/>
  <c r="BB39" i="1"/>
  <c r="BA39" i="1"/>
  <c r="BA38" i="1"/>
  <c r="BB38" i="1"/>
  <c r="BB24" i="1"/>
  <c r="BA24" i="1"/>
  <c r="BA45" i="1"/>
  <c r="BB45" i="1"/>
  <c r="BB20" i="1"/>
  <c r="BA20" i="1"/>
  <c r="BA36" i="1"/>
  <c r="BB36" i="1"/>
  <c r="BB16" i="1"/>
  <c r="BA16" i="1"/>
  <c r="BB227" i="1"/>
  <c r="BA227" i="1"/>
  <c r="BB146" i="1"/>
  <c r="BA146" i="1"/>
  <c r="BB144" i="1"/>
  <c r="BA144" i="1"/>
  <c r="BB217" i="1"/>
  <c r="BA217" i="1"/>
  <c r="BA210" i="1"/>
  <c r="BB210" i="1"/>
  <c r="BB206" i="1"/>
  <c r="BA206" i="1"/>
  <c r="BB198" i="1"/>
  <c r="BA198" i="1"/>
  <c r="BA2" i="1"/>
  <c r="BB2"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L62" i="1" l="1"/>
  <c r="BN62" i="1" s="1"/>
  <c r="AG62" i="1"/>
  <c r="AI62" i="1" s="1"/>
  <c r="X62" i="1"/>
  <c r="AF62" i="1" l="1"/>
  <c r="BL32" i="1"/>
  <c r="BN32" i="1" s="1"/>
  <c r="AG32" i="1"/>
  <c r="AI32" i="1" s="1"/>
  <c r="X32" i="1"/>
  <c r="AF32" i="1" l="1"/>
  <c r="BL63" i="1"/>
  <c r="BN63" i="1" s="1"/>
  <c r="AG63" i="1"/>
  <c r="AI63" i="1" s="1"/>
  <c r="X63" i="1"/>
  <c r="BL64" i="1"/>
  <c r="BN64" i="1" s="1"/>
  <c r="AG64" i="1"/>
  <c r="AI64" i="1" s="1"/>
  <c r="X64" i="1"/>
  <c r="BL44" i="1"/>
  <c r="BN44" i="1" s="1"/>
  <c r="AG44" i="1"/>
  <c r="AI44" i="1" s="1"/>
  <c r="X44" i="1"/>
  <c r="BL36" i="1"/>
  <c r="BN36" i="1" s="1"/>
  <c r="AG36" i="1"/>
  <c r="AI36" i="1" s="1"/>
  <c r="X36" i="1"/>
  <c r="BL42" i="1"/>
  <c r="BN42" i="1" s="1"/>
  <c r="AG42" i="1"/>
  <c r="AI42" i="1" s="1"/>
  <c r="X42" i="1"/>
  <c r="AE40" i="1"/>
  <c r="AX40" i="1" s="1"/>
  <c r="BL40" i="1"/>
  <c r="BN40" i="1" s="1"/>
  <c r="AG40" i="1"/>
  <c r="AI40" i="1" s="1"/>
  <c r="X40" i="1"/>
  <c r="BL41" i="1"/>
  <c r="BN41" i="1" s="1"/>
  <c r="AG41" i="1"/>
  <c r="AF41" i="1" s="1"/>
  <c r="X41" i="1"/>
  <c r="BL39" i="1"/>
  <c r="BN39" i="1" s="1"/>
  <c r="AG39" i="1"/>
  <c r="AI39" i="1" s="1"/>
  <c r="X39" i="1"/>
  <c r="BL35" i="1"/>
  <c r="BN35" i="1" s="1"/>
  <c r="AG35" i="1"/>
  <c r="AI35" i="1" s="1"/>
  <c r="X35" i="1"/>
  <c r="BL34" i="1"/>
  <c r="BN34" i="1" s="1"/>
  <c r="AG34" i="1"/>
  <c r="AI34" i="1" s="1"/>
  <c r="X34" i="1"/>
  <c r="BB40" i="1" l="1"/>
  <c r="BA40" i="1"/>
  <c r="AI41" i="1"/>
  <c r="AF42" i="1"/>
  <c r="AF64" i="1"/>
  <c r="AF63" i="1"/>
  <c r="AF44" i="1"/>
  <c r="AF36" i="1"/>
  <c r="AF40" i="1"/>
  <c r="AF39" i="1"/>
  <c r="AF35" i="1"/>
  <c r="AF34" i="1"/>
  <c r="BL54" i="1"/>
  <c r="BN54" i="1" s="1"/>
  <c r="AG54" i="1"/>
  <c r="X54" i="1"/>
  <c r="BL53" i="1"/>
  <c r="BN53" i="1" s="1"/>
  <c r="AG53" i="1"/>
  <c r="X53" i="1"/>
  <c r="BL52" i="1"/>
  <c r="BN52" i="1" s="1"/>
  <c r="AG52" i="1"/>
  <c r="X52" i="1"/>
  <c r="BL51" i="1"/>
  <c r="BN51" i="1" s="1"/>
  <c r="AG51" i="1"/>
  <c r="X51" i="1"/>
  <c r="BL55" i="1"/>
  <c r="BN55" i="1" s="1"/>
  <c r="AG55" i="1"/>
  <c r="X55" i="1"/>
  <c r="BL61" i="1"/>
  <c r="BN61" i="1" s="1"/>
  <c r="AG61" i="1"/>
  <c r="X61" i="1"/>
  <c r="BL60" i="1"/>
  <c r="BN60" i="1" s="1"/>
  <c r="AG60" i="1"/>
  <c r="AI60" i="1" s="1"/>
  <c r="X60" i="1"/>
  <c r="BL58" i="1"/>
  <c r="BN58" i="1" s="1"/>
  <c r="AG58" i="1"/>
  <c r="X58" i="1"/>
  <c r="AF53" i="1" l="1"/>
  <c r="AI53" i="1"/>
  <c r="AF58" i="1"/>
  <c r="AI58" i="1"/>
  <c r="AF51" i="1"/>
  <c r="AI51" i="1"/>
  <c r="AF55" i="1"/>
  <c r="AI55" i="1"/>
  <c r="AF54" i="1"/>
  <c r="AI54" i="1"/>
  <c r="AF61" i="1"/>
  <c r="AI61" i="1"/>
  <c r="AF52" i="1"/>
  <c r="AI52" i="1"/>
  <c r="AF60" i="1"/>
  <c r="BL47" i="1"/>
  <c r="BN47" i="1" s="1"/>
  <c r="BL48" i="1"/>
  <c r="AG47" i="1"/>
  <c r="AG48" i="1"/>
  <c r="BL30" i="1"/>
  <c r="BN30" i="1" s="1"/>
  <c r="AG30" i="1"/>
  <c r="AI30" i="1" s="1"/>
  <c r="X30" i="1"/>
  <c r="AF48" i="1" l="1"/>
  <c r="AI48" i="1"/>
  <c r="AF47" i="1"/>
  <c r="AI47" i="1"/>
  <c r="AF30" i="1"/>
  <c r="BL28" i="1"/>
  <c r="BN28" i="1" s="1"/>
  <c r="BL29" i="1"/>
  <c r="BN29" i="1" s="1"/>
  <c r="BL31" i="1"/>
  <c r="AG28" i="1"/>
  <c r="X28" i="1"/>
  <c r="AF28" i="1" l="1"/>
  <c r="AI28" i="1"/>
  <c r="AG27" i="1"/>
  <c r="X27" i="1"/>
  <c r="BL26" i="1"/>
  <c r="BN26" i="1" s="1"/>
  <c r="BL27" i="1"/>
  <c r="BN27" i="1" s="1"/>
  <c r="BN31" i="1"/>
  <c r="AG26" i="1"/>
  <c r="AI26" i="1" s="1"/>
  <c r="X26" i="1"/>
  <c r="AF27" i="1" l="1"/>
  <c r="AI27" i="1"/>
  <c r="AF26" i="1"/>
  <c r="G21" i="6"/>
  <c r="G22" i="6" s="1"/>
  <c r="B25" i="6"/>
  <c r="B24" i="6"/>
  <c r="I21" i="6"/>
  <c r="I22" i="6" s="1"/>
  <c r="H21" i="6"/>
  <c r="H22" i="6" s="1"/>
  <c r="F21" i="6"/>
  <c r="F22" i="6" s="1"/>
  <c r="E21" i="6"/>
  <c r="E22" i="6" s="1"/>
  <c r="D21" i="6"/>
  <c r="D22" i="6" s="1"/>
  <c r="C21" i="6"/>
  <c r="C22" i="6" s="1"/>
  <c r="B21" i="6"/>
  <c r="B22" i="6" s="1"/>
  <c r="T208" i="1"/>
  <c r="BL207" i="1"/>
  <c r="BN207" i="1" s="1"/>
  <c r="AG207" i="1"/>
  <c r="AI207" i="1" s="1"/>
  <c r="X207" i="1"/>
  <c r="AF207"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92" i="1"/>
  <c r="AI192" i="1" s="1"/>
  <c r="BL241" i="1"/>
  <c r="BN241" i="1" s="1"/>
  <c r="BL242" i="1"/>
  <c r="BN242" i="1" s="1"/>
  <c r="BL243" i="1"/>
  <c r="BN243" i="1" s="1"/>
  <c r="BL244" i="1"/>
  <c r="BN244" i="1" s="1"/>
  <c r="BL245" i="1"/>
  <c r="BN245" i="1" s="1"/>
  <c r="BL246" i="1"/>
  <c r="BN246" i="1" s="1"/>
  <c r="AE246" i="1"/>
  <c r="AX246" i="1" s="1"/>
  <c r="AG241" i="1"/>
  <c r="AG242" i="1"/>
  <c r="AG243" i="1"/>
  <c r="AG244" i="1"/>
  <c r="AG245" i="1"/>
  <c r="AG246" i="1"/>
  <c r="X246" i="1"/>
  <c r="BB246" i="1" l="1"/>
  <c r="BA246" i="1"/>
  <c r="AF246" i="1"/>
  <c r="AI246" i="1"/>
  <c r="AF245" i="1"/>
  <c r="AI245" i="1"/>
  <c r="AF244" i="1"/>
  <c r="AI244" i="1"/>
  <c r="AF243" i="1"/>
  <c r="AI243" i="1"/>
  <c r="AF242" i="1"/>
  <c r="AI242" i="1"/>
  <c r="AF241" i="1"/>
  <c r="AI241" i="1"/>
  <c r="B15" i="6"/>
  <c r="K218" i="1"/>
  <c r="AU218" i="1" s="1"/>
  <c r="K222" i="1"/>
  <c r="AU222" i="1" s="1"/>
  <c r="BL240" i="1"/>
  <c r="BN240" i="1" s="1"/>
  <c r="AG240" i="1"/>
  <c r="AI240" i="1" s="1"/>
  <c r="X240" i="1"/>
  <c r="BA218" i="1" l="1"/>
  <c r="BB218" i="1"/>
  <c r="BB222" i="1"/>
  <c r="BA222" i="1"/>
  <c r="AF240" i="1"/>
  <c r="T198" i="1"/>
  <c r="K205" i="1"/>
  <c r="AU205" i="1" s="1"/>
  <c r="BL14" i="1"/>
  <c r="BN14" i="1" s="1"/>
  <c r="AG14" i="1"/>
  <c r="AI14" i="1" s="1"/>
  <c r="X14" i="1"/>
  <c r="BL203" i="1"/>
  <c r="K203" i="1"/>
  <c r="AU203" i="1" s="1"/>
  <c r="T203" i="1"/>
  <c r="BB205" i="1" l="1"/>
  <c r="BA205" i="1"/>
  <c r="BA203" i="1"/>
  <c r="BB203" i="1"/>
  <c r="AF14" i="1"/>
  <c r="K200" i="1"/>
  <c r="AU200" i="1" s="1"/>
  <c r="T200" i="1"/>
  <c r="BA200" i="1" l="1"/>
  <c r="BB200" i="1"/>
  <c r="K197" i="1"/>
  <c r="AU197" i="1" s="1"/>
  <c r="T197" i="1"/>
  <c r="BB197" i="1" l="1"/>
  <c r="BA197" i="1"/>
  <c r="AA189" i="1"/>
  <c r="T184" i="1" l="1"/>
  <c r="T182" i="1"/>
  <c r="BL169" i="1"/>
  <c r="BN169" i="1" s="1"/>
  <c r="AG169" i="1"/>
  <c r="X169" i="1"/>
  <c r="AF169" i="1" l="1"/>
  <c r="AI169" i="1"/>
  <c r="K226" i="1"/>
  <c r="AU226" i="1" s="1"/>
  <c r="BL176" i="1"/>
  <c r="BN176" i="1" s="1"/>
  <c r="AG176" i="1"/>
  <c r="X176" i="1"/>
  <c r="BA226" i="1" l="1"/>
  <c r="BB226" i="1"/>
  <c r="AF176" i="1"/>
  <c r="AI176" i="1"/>
  <c r="AE213" i="1"/>
  <c r="AX213" i="1" s="1"/>
  <c r="BA213" i="1" l="1"/>
  <c r="BB213" i="1"/>
  <c r="BL22" i="1"/>
  <c r="BN22" i="1" s="1"/>
  <c r="AG22" i="1"/>
  <c r="X22" i="1"/>
  <c r="BL167" i="1"/>
  <c r="BN167" i="1" s="1"/>
  <c r="AG167" i="1"/>
  <c r="AI167" i="1" s="1"/>
  <c r="X167" i="1"/>
  <c r="AF22" i="1" l="1"/>
  <c r="AI22" i="1"/>
  <c r="AF167" i="1"/>
  <c r="X195" i="1"/>
  <c r="X191" i="1"/>
  <c r="Q136" i="1" l="1"/>
  <c r="S136" i="1" s="1"/>
  <c r="Q132" i="1" l="1"/>
  <c r="S132" i="1" s="1"/>
  <c r="AB132" i="1"/>
  <c r="AB133" i="1"/>
  <c r="Q133" i="1"/>
  <c r="S133" i="1" s="1"/>
  <c r="AB130" i="1" l="1"/>
  <c r="AG130" i="1" s="1"/>
  <c r="BL13" i="1"/>
  <c r="BN13" i="1" s="1"/>
  <c r="AG13" i="1"/>
  <c r="AI13" i="1" s="1"/>
  <c r="X13" i="1"/>
  <c r="AB128" i="1"/>
  <c r="Q128" i="1"/>
  <c r="S128" i="1" s="1"/>
  <c r="Q127" i="1"/>
  <c r="S127" i="1" s="1"/>
  <c r="AF13" i="1" l="1"/>
  <c r="Q126" i="1"/>
  <c r="S126" i="1" s="1"/>
  <c r="Q125" i="1"/>
  <c r="S125" i="1" s="1"/>
  <c r="Q124" i="1"/>
  <c r="S124" i="1" s="1"/>
  <c r="BL12" i="1"/>
  <c r="BN12" i="1" s="1"/>
  <c r="AG12" i="1"/>
  <c r="AI12" i="1" s="1"/>
  <c r="X12" i="1"/>
  <c r="Q123" i="1"/>
  <c r="S123" i="1" s="1"/>
  <c r="Q99" i="1"/>
  <c r="S99" i="1" s="1"/>
  <c r="Q122" i="1"/>
  <c r="S122" i="1" s="1"/>
  <c r="AF12" i="1" l="1"/>
  <c r="BL11" i="1"/>
  <c r="BN11" i="1" s="1"/>
  <c r="AG11" i="1"/>
  <c r="AI11" i="1" s="1"/>
  <c r="X11" i="1"/>
  <c r="U121" i="1"/>
  <c r="Q121" i="1"/>
  <c r="S121" i="1" s="1"/>
  <c r="AF11" i="1" l="1"/>
  <c r="BL10" i="1"/>
  <c r="BN10" i="1" s="1"/>
  <c r="AG10" i="1"/>
  <c r="AI10" i="1" s="1"/>
  <c r="X10" i="1"/>
  <c r="AB118" i="1"/>
  <c r="Q118" i="1"/>
  <c r="S118" i="1" s="1"/>
  <c r="AE181" i="1"/>
  <c r="AX181" i="1" s="1"/>
  <c r="BA181" i="1" l="1"/>
  <c r="BB181" i="1"/>
  <c r="AF10" i="1"/>
  <c r="BL9" i="1"/>
  <c r="BN9" i="1" s="1"/>
  <c r="AG9" i="1"/>
  <c r="AI9" i="1" s="1"/>
  <c r="X9" i="1"/>
  <c r="AB117" i="1"/>
  <c r="AB116" i="1"/>
  <c r="Q116" i="1"/>
  <c r="S116" i="1" s="1"/>
  <c r="AF9" i="1" l="1"/>
  <c r="AB115" i="1"/>
  <c r="Q115" i="1"/>
  <c r="S115" i="1" s="1"/>
  <c r="X116" i="1"/>
  <c r="X117" i="1"/>
  <c r="X180" i="1"/>
  <c r="X181" i="1"/>
  <c r="X248" i="1"/>
  <c r="X118" i="1"/>
  <c r="X120" i="1"/>
  <c r="X119" i="1"/>
  <c r="X121" i="1"/>
  <c r="X122" i="1"/>
  <c r="X123" i="1"/>
  <c r="X124" i="1"/>
  <c r="X125" i="1"/>
  <c r="X126" i="1"/>
  <c r="X127" i="1"/>
  <c r="X128" i="1"/>
  <c r="X129" i="1"/>
  <c r="X130" i="1"/>
  <c r="X131" i="1"/>
  <c r="X132" i="1"/>
  <c r="X133" i="1"/>
  <c r="X134" i="1"/>
  <c r="X135" i="1"/>
  <c r="X136" i="1"/>
  <c r="X137" i="1"/>
  <c r="X20" i="1"/>
  <c r="X139" i="1"/>
  <c r="X140" i="1"/>
  <c r="X141" i="1"/>
  <c r="X142" i="1"/>
  <c r="X143" i="1"/>
  <c r="X144" i="1"/>
  <c r="X145" i="1"/>
  <c r="X147" i="1"/>
  <c r="X148" i="1"/>
  <c r="X249" i="1"/>
  <c r="X149" i="1"/>
  <c r="X150" i="1"/>
  <c r="X151" i="1"/>
  <c r="X186" i="1"/>
  <c r="X188" i="1"/>
  <c r="X250" i="1"/>
  <c r="X152" i="1"/>
  <c r="X153" i="1"/>
  <c r="X154" i="1"/>
  <c r="X146" i="1"/>
  <c r="X155" i="1"/>
  <c r="X156" i="1"/>
  <c r="X157" i="1"/>
  <c r="X158" i="1"/>
  <c r="X159" i="1"/>
  <c r="X160" i="1"/>
  <c r="X251" i="1"/>
  <c r="X252" i="1"/>
  <c r="X161" i="1"/>
  <c r="X253" i="1"/>
  <c r="X162" i="1"/>
  <c r="X21" i="1"/>
  <c r="X163" i="1"/>
  <c r="X255" i="1"/>
  <c r="X164" i="1"/>
  <c r="X254" i="1"/>
  <c r="X165" i="1"/>
  <c r="X166" i="1"/>
  <c r="X199" i="1"/>
  <c r="X168" i="1"/>
  <c r="X206" i="1"/>
  <c r="X259" i="1"/>
  <c r="X170" i="1"/>
  <c r="X258" i="1"/>
  <c r="X171" i="1"/>
  <c r="X172" i="1"/>
  <c r="X173" i="1"/>
  <c r="X213" i="1"/>
  <c r="X220" i="1"/>
  <c r="X225" i="1"/>
  <c r="X174" i="1"/>
  <c r="X256" i="1"/>
  <c r="X257" i="1"/>
  <c r="X175" i="1"/>
  <c r="X211" i="1"/>
  <c r="X226" i="1"/>
  <c r="X221" i="1"/>
  <c r="X224" i="1"/>
  <c r="X196" i="1"/>
  <c r="X204" i="1"/>
  <c r="X182" i="1"/>
  <c r="X184" i="1"/>
  <c r="X190" i="1"/>
  <c r="X189" i="1"/>
  <c r="X197" i="1"/>
  <c r="X200" i="1"/>
  <c r="X203" i="1"/>
  <c r="X205" i="1"/>
  <c r="X198" i="1"/>
  <c r="X222" i="1"/>
  <c r="X210" i="1"/>
  <c r="X192" i="1"/>
  <c r="X214" i="1"/>
  <c r="X217" i="1"/>
  <c r="X218" i="1"/>
  <c r="X201" i="1"/>
  <c r="X208" i="1"/>
  <c r="X233" i="1"/>
  <c r="X234" i="1"/>
  <c r="X235" i="1"/>
  <c r="X236" i="1"/>
  <c r="X237" i="1"/>
  <c r="X238" i="1"/>
  <c r="X230" i="1"/>
  <c r="X231" i="1"/>
  <c r="X15" i="1"/>
  <c r="X232" i="1"/>
  <c r="X19" i="1"/>
  <c r="X227" i="1"/>
  <c r="X228" i="1"/>
  <c r="X229" i="1"/>
  <c r="X48" i="1"/>
  <c r="X49" i="1"/>
  <c r="X25" i="1"/>
  <c r="X29" i="1"/>
  <c r="X31" i="1"/>
  <c r="X38" i="1"/>
  <c r="X33" i="1"/>
  <c r="X239" i="1"/>
  <c r="X57" i="1"/>
  <c r="X50" i="1"/>
  <c r="X59" i="1"/>
  <c r="X43" i="1"/>
  <c r="X241" i="1"/>
  <c r="X242" i="1"/>
  <c r="X243" i="1"/>
  <c r="X244" i="1"/>
  <c r="X23" i="1"/>
  <c r="X65" i="1"/>
  <c r="X66" i="1"/>
  <c r="X67" i="1"/>
  <c r="X68" i="1"/>
  <c r="X69" i="1"/>
  <c r="X70" i="1"/>
  <c r="X71" i="1"/>
  <c r="X72" i="1"/>
  <c r="X73" i="1"/>
  <c r="X74" i="1"/>
  <c r="X75" i="1"/>
  <c r="X45" i="1"/>
  <c r="X76" i="1"/>
  <c r="X77" i="1"/>
  <c r="X79" i="1"/>
  <c r="X80" i="1"/>
  <c r="X81" i="1"/>
  <c r="X82" i="1"/>
  <c r="X83" i="1"/>
  <c r="X84" i="1"/>
  <c r="X85" i="1"/>
  <c r="X2" i="1"/>
  <c r="X3" i="1"/>
  <c r="X8" i="1"/>
  <c r="X4" i="1"/>
  <c r="X247" i="1"/>
  <c r="X86" i="1"/>
  <c r="X87" i="1"/>
  <c r="X24" i="1"/>
  <c r="X88" i="1"/>
  <c r="X177" i="1"/>
  <c r="X56" i="1"/>
  <c r="X37" i="1"/>
  <c r="X46" i="1"/>
  <c r="X16" i="1"/>
  <c r="X17" i="1"/>
  <c r="X89" i="1"/>
  <c r="X90" i="1"/>
  <c r="X91" i="1"/>
  <c r="X92" i="1"/>
  <c r="X93" i="1"/>
  <c r="X94" i="1"/>
  <c r="X178" i="1"/>
  <c r="X95" i="1"/>
  <c r="X96" i="1"/>
  <c r="X98" i="1"/>
  <c r="X99" i="1"/>
  <c r="X100" i="1"/>
  <c r="X5" i="1"/>
  <c r="X6" i="1"/>
  <c r="X7" i="1"/>
  <c r="X101" i="1"/>
  <c r="X102" i="1"/>
  <c r="X103" i="1"/>
  <c r="X104" i="1"/>
  <c r="X105" i="1"/>
  <c r="X106" i="1"/>
  <c r="X107" i="1"/>
  <c r="X108" i="1"/>
  <c r="X110" i="1"/>
  <c r="X179" i="1"/>
  <c r="X109" i="1"/>
  <c r="X111" i="1"/>
  <c r="X112" i="1"/>
  <c r="X113" i="1"/>
  <c r="X114" i="1"/>
  <c r="X115" i="1"/>
  <c r="AB114" i="1"/>
  <c r="AB113" i="1" l="1"/>
  <c r="Q110" i="1" l="1"/>
  <c r="S110" i="1" s="1"/>
  <c r="BL5" i="1"/>
  <c r="BN5" i="1" s="1"/>
  <c r="AG5" i="1"/>
  <c r="AI5" i="1" s="1"/>
  <c r="Q108" i="1"/>
  <c r="S108" i="1" s="1"/>
  <c r="AB108" i="1"/>
  <c r="AF5" i="1" l="1"/>
  <c r="Q107" i="1"/>
  <c r="S107" i="1" s="1"/>
  <c r="BL8" i="1" l="1"/>
  <c r="BN8" i="1" s="1"/>
  <c r="AG8" i="1"/>
  <c r="AI8" i="1" s="1"/>
  <c r="Q106" i="1"/>
  <c r="S106" i="1" s="1"/>
  <c r="AB106" i="1"/>
  <c r="Q105" i="1"/>
  <c r="S105" i="1" s="1"/>
  <c r="AB105" i="1"/>
  <c r="Q104" i="1"/>
  <c r="S104" i="1" s="1"/>
  <c r="AB103" i="1"/>
  <c r="Q103" i="1"/>
  <c r="S103" i="1" s="1"/>
  <c r="AB102" i="1"/>
  <c r="Q102" i="1"/>
  <c r="S102" i="1" s="1"/>
  <c r="Q101" i="1"/>
  <c r="S101" i="1" s="1"/>
  <c r="AB98" i="1"/>
  <c r="BL2" i="1"/>
  <c r="BN2" i="1" s="1"/>
  <c r="AG2" i="1"/>
  <c r="AI2" i="1" s="1"/>
  <c r="Q98" i="1"/>
  <c r="S98" i="1" s="1"/>
  <c r="Q97" i="1"/>
  <c r="S97" i="1" s="1"/>
  <c r="BL56" i="1"/>
  <c r="BN56" i="1" s="1"/>
  <c r="AG56" i="1"/>
  <c r="AI56" i="1" s="1"/>
  <c r="BL37" i="1"/>
  <c r="BN37" i="1" s="1"/>
  <c r="BL46" i="1"/>
  <c r="BN46" i="1" s="1"/>
  <c r="AG37" i="1"/>
  <c r="AI37" i="1" s="1"/>
  <c r="AG46" i="1"/>
  <c r="AI46" i="1" s="1"/>
  <c r="AI130" i="1" l="1"/>
  <c r="AF2" i="1"/>
  <c r="AF8" i="1"/>
  <c r="AF46" i="1"/>
  <c r="AF56" i="1"/>
  <c r="AF37" i="1"/>
  <c r="BL86" i="1"/>
  <c r="BN86" i="1" s="1"/>
  <c r="AG86" i="1"/>
  <c r="AI86" i="1" s="1"/>
  <c r="Q86" i="1"/>
  <c r="S86" i="1" s="1"/>
  <c r="BL16" i="1"/>
  <c r="BN16" i="1" s="1"/>
  <c r="AG16" i="1"/>
  <c r="AI16" i="1" s="1"/>
  <c r="AF86" i="1" l="1"/>
  <c r="AF16" i="1"/>
  <c r="BL4" i="1"/>
  <c r="BN4" i="1" s="1"/>
  <c r="AG4" i="1"/>
  <c r="AI4" i="1" s="1"/>
  <c r="Q92" i="1"/>
  <c r="S92" i="1" s="1"/>
  <c r="Q93" i="1"/>
  <c r="S93" i="1" s="1"/>
  <c r="AF4" i="1" l="1"/>
  <c r="Q91" i="1"/>
  <c r="S91" i="1" s="1"/>
  <c r="Q90" i="1"/>
  <c r="S90" i="1" s="1"/>
  <c r="P87" i="1" l="1"/>
  <c r="Q87" i="1"/>
  <c r="Q89" i="1"/>
  <c r="S89" i="1" s="1"/>
  <c r="Q130" i="1"/>
  <c r="S130" i="1" s="1"/>
  <c r="S87" i="1" l="1"/>
  <c r="B4" i="4"/>
  <c r="B5" i="4"/>
  <c r="B6" i="4"/>
  <c r="B7" i="4"/>
  <c r="B8" i="4"/>
  <c r="B9" i="4"/>
  <c r="B10" i="4"/>
  <c r="B11" i="4"/>
  <c r="B3" i="4"/>
  <c r="BL77" i="1"/>
  <c r="BN77" i="1" s="1"/>
  <c r="BL78" i="1"/>
  <c r="BN78" i="1" s="1"/>
  <c r="BL79" i="1"/>
  <c r="BN79" i="1" s="1"/>
  <c r="BL80" i="1"/>
  <c r="BN80" i="1" s="1"/>
  <c r="BL81" i="1"/>
  <c r="BN81" i="1" s="1"/>
  <c r="BL82" i="1"/>
  <c r="BN82" i="1" s="1"/>
  <c r="BL83" i="1"/>
  <c r="BN83" i="1" s="1"/>
  <c r="BL84" i="1"/>
  <c r="BN84" i="1" s="1"/>
  <c r="BL87" i="1"/>
  <c r="BN87" i="1" s="1"/>
  <c r="BL88" i="1"/>
  <c r="BN88" i="1" s="1"/>
  <c r="BL177" i="1"/>
  <c r="BN177" i="1" s="1"/>
  <c r="BL89" i="1"/>
  <c r="BN89" i="1" s="1"/>
  <c r="BL90" i="1"/>
  <c r="BN90" i="1" s="1"/>
  <c r="BL91" i="1"/>
  <c r="BN91" i="1" s="1"/>
  <c r="BL92" i="1"/>
  <c r="BN92" i="1" s="1"/>
  <c r="BL93" i="1"/>
  <c r="BN93" i="1" s="1"/>
  <c r="BL94" i="1"/>
  <c r="BN94" i="1" s="1"/>
  <c r="BL95" i="1"/>
  <c r="BN95" i="1" s="1"/>
  <c r="BL96" i="1"/>
  <c r="BN96" i="1" s="1"/>
  <c r="BL97" i="1"/>
  <c r="BN97" i="1" s="1"/>
  <c r="BL98" i="1"/>
  <c r="BN98" i="1" s="1"/>
  <c r="BL85" i="1"/>
  <c r="BN85" i="1" s="1"/>
  <c r="BL99" i="1"/>
  <c r="BN99" i="1" s="1"/>
  <c r="BL100" i="1"/>
  <c r="BN100" i="1" s="1"/>
  <c r="BL101" i="1"/>
  <c r="BN101" i="1" s="1"/>
  <c r="BL102" i="1"/>
  <c r="BN102" i="1" s="1"/>
  <c r="BL103" i="1"/>
  <c r="BN103" i="1" s="1"/>
  <c r="BL104" i="1"/>
  <c r="BN104" i="1" s="1"/>
  <c r="BL105" i="1"/>
  <c r="BN105" i="1" s="1"/>
  <c r="BL106" i="1"/>
  <c r="BN106" i="1" s="1"/>
  <c r="BL107" i="1"/>
  <c r="BN107" i="1" s="1"/>
  <c r="BL108" i="1"/>
  <c r="BN108" i="1" s="1"/>
  <c r="BL110" i="1"/>
  <c r="BN110" i="1" s="1"/>
  <c r="BL111" i="1"/>
  <c r="BN111" i="1" s="1"/>
  <c r="BL112" i="1"/>
  <c r="BN112" i="1" s="1"/>
  <c r="BL113" i="1"/>
  <c r="BN113" i="1" s="1"/>
  <c r="BL114" i="1"/>
  <c r="BN114" i="1" s="1"/>
  <c r="BL115" i="1"/>
  <c r="BN115" i="1" s="1"/>
  <c r="BL116" i="1"/>
  <c r="BN116" i="1" s="1"/>
  <c r="BL117" i="1"/>
  <c r="BN117" i="1" s="1"/>
  <c r="BL118" i="1"/>
  <c r="BN118" i="1" s="1"/>
  <c r="BL120" i="1"/>
  <c r="BN120" i="1" s="1"/>
  <c r="BL119" i="1"/>
  <c r="BN119" i="1" s="1"/>
  <c r="BL121" i="1"/>
  <c r="BN121" i="1" s="1"/>
  <c r="BL122" i="1"/>
  <c r="BN122" i="1" s="1"/>
  <c r="BL123" i="1"/>
  <c r="BN123" i="1" s="1"/>
  <c r="BL124" i="1"/>
  <c r="BN124" i="1" s="1"/>
  <c r="BL125" i="1"/>
  <c r="BN125" i="1" s="1"/>
  <c r="BL126" i="1"/>
  <c r="BN126" i="1" s="1"/>
  <c r="BL127" i="1"/>
  <c r="BN127" i="1" s="1"/>
  <c r="BL128" i="1"/>
  <c r="BN128" i="1" s="1"/>
  <c r="BL129" i="1"/>
  <c r="BN129" i="1" s="1"/>
  <c r="BL130" i="1"/>
  <c r="BN130" i="1" s="1"/>
  <c r="BL131" i="1"/>
  <c r="BN131" i="1" s="1"/>
  <c r="BL132" i="1"/>
  <c r="BN132" i="1" s="1"/>
  <c r="BL133" i="1"/>
  <c r="BN133" i="1" s="1"/>
  <c r="BL134" i="1"/>
  <c r="BN134" i="1" s="1"/>
  <c r="BL135" i="1"/>
  <c r="BN135" i="1" s="1"/>
  <c r="BL136" i="1"/>
  <c r="BN136" i="1" s="1"/>
  <c r="BL137" i="1"/>
  <c r="BN137" i="1" s="1"/>
  <c r="BL139" i="1"/>
  <c r="BN139" i="1" s="1"/>
  <c r="BL140" i="1"/>
  <c r="BN140" i="1" s="1"/>
  <c r="BL141" i="1"/>
  <c r="BN141" i="1" s="1"/>
  <c r="BL142" i="1"/>
  <c r="BN142" i="1" s="1"/>
  <c r="BL143" i="1"/>
  <c r="BN143" i="1" s="1"/>
  <c r="BL144" i="1"/>
  <c r="BN144" i="1" s="1"/>
  <c r="BL145" i="1"/>
  <c r="BN145" i="1" s="1"/>
  <c r="BL147" i="1"/>
  <c r="BN147" i="1" s="1"/>
  <c r="BL148" i="1"/>
  <c r="BN148" i="1" s="1"/>
  <c r="BL149" i="1"/>
  <c r="BN149" i="1" s="1"/>
  <c r="BL150" i="1"/>
  <c r="BN150" i="1" s="1"/>
  <c r="BL151" i="1"/>
  <c r="BN151" i="1" s="1"/>
  <c r="BL186" i="1"/>
  <c r="BN186" i="1" s="1"/>
  <c r="BL152" i="1"/>
  <c r="BN152" i="1" s="1"/>
  <c r="BL153" i="1"/>
  <c r="BN153" i="1" s="1"/>
  <c r="BL154" i="1"/>
  <c r="BN154" i="1" s="1"/>
  <c r="BL146" i="1"/>
  <c r="BN146" i="1" s="1"/>
  <c r="BL155" i="1"/>
  <c r="BN155" i="1" s="1"/>
  <c r="BL156" i="1"/>
  <c r="BN156" i="1" s="1"/>
  <c r="BL157" i="1"/>
  <c r="BN157" i="1" s="1"/>
  <c r="BL158" i="1"/>
  <c r="BN158" i="1" s="1"/>
  <c r="BL159" i="1"/>
  <c r="BN159" i="1" s="1"/>
  <c r="BL160" i="1"/>
  <c r="BN160" i="1" s="1"/>
  <c r="BL161" i="1"/>
  <c r="BN161" i="1" s="1"/>
  <c r="BL162" i="1"/>
  <c r="BN162" i="1" s="1"/>
  <c r="BL163" i="1"/>
  <c r="BN163" i="1" s="1"/>
  <c r="BL164" i="1"/>
  <c r="BN164" i="1" s="1"/>
  <c r="BL165" i="1"/>
  <c r="BN165" i="1" s="1"/>
  <c r="BL166" i="1"/>
  <c r="BN166" i="1" s="1"/>
  <c r="BL168" i="1"/>
  <c r="BN168" i="1" s="1"/>
  <c r="BL170" i="1"/>
  <c r="BN170" i="1" s="1"/>
  <c r="BL171" i="1"/>
  <c r="BN171" i="1" s="1"/>
  <c r="BL172" i="1"/>
  <c r="BN172" i="1" s="1"/>
  <c r="BL173" i="1"/>
  <c r="BN173" i="1" s="1"/>
  <c r="BL174" i="1"/>
  <c r="BN174" i="1" s="1"/>
  <c r="BL175" i="1"/>
  <c r="BN175" i="1" s="1"/>
  <c r="BL109" i="1"/>
  <c r="BN109" i="1" s="1"/>
  <c r="BL178" i="1"/>
  <c r="BN178" i="1" s="1"/>
  <c r="BL179" i="1"/>
  <c r="BN179" i="1" s="1"/>
  <c r="BL180" i="1"/>
  <c r="BN180" i="1" s="1"/>
  <c r="BL181" i="1"/>
  <c r="BN181" i="1" s="1"/>
  <c r="BL138" i="1"/>
  <c r="BN138" i="1" s="1"/>
  <c r="BL185" i="1"/>
  <c r="BN185" i="1" s="1"/>
  <c r="BL188" i="1"/>
  <c r="BN188" i="1" s="1"/>
  <c r="BL183" i="1"/>
  <c r="BN183" i="1" s="1"/>
  <c r="BL220" i="1"/>
  <c r="BN220" i="1" s="1"/>
  <c r="BL206" i="1"/>
  <c r="BN206" i="1" s="1"/>
  <c r="BL213" i="1"/>
  <c r="BN213" i="1" s="1"/>
  <c r="BL225" i="1"/>
  <c r="BN225" i="1" s="1"/>
  <c r="BL199" i="1"/>
  <c r="BN199" i="1" s="1"/>
  <c r="BL195" i="1"/>
  <c r="BN195" i="1" s="1"/>
  <c r="BL191" i="1"/>
  <c r="BN191" i="1" s="1"/>
  <c r="BL211" i="1"/>
  <c r="BN211" i="1" s="1"/>
  <c r="BL226" i="1"/>
  <c r="BN226" i="1" s="1"/>
  <c r="BL221" i="1"/>
  <c r="BN221" i="1" s="1"/>
  <c r="BL224" i="1"/>
  <c r="BN224" i="1" s="1"/>
  <c r="BL196" i="1"/>
  <c r="BN196" i="1" s="1"/>
  <c r="BL204" i="1"/>
  <c r="BN204" i="1" s="1"/>
  <c r="BL182" i="1"/>
  <c r="BN182" i="1" s="1"/>
  <c r="BL184" i="1"/>
  <c r="BN184" i="1" s="1"/>
  <c r="BL190" i="1"/>
  <c r="BN190" i="1" s="1"/>
  <c r="BL189" i="1"/>
  <c r="BN189" i="1" s="1"/>
  <c r="BL197" i="1"/>
  <c r="BN197" i="1" s="1"/>
  <c r="BL200" i="1"/>
  <c r="BN200" i="1" s="1"/>
  <c r="BN203" i="1"/>
  <c r="BL205" i="1"/>
  <c r="BN205" i="1" s="1"/>
  <c r="BL198" i="1"/>
  <c r="BN198" i="1" s="1"/>
  <c r="BL222" i="1"/>
  <c r="BN222" i="1" s="1"/>
  <c r="BL210" i="1"/>
  <c r="BN210" i="1" s="1"/>
  <c r="BL192" i="1"/>
  <c r="BN192" i="1" s="1"/>
  <c r="BL214" i="1"/>
  <c r="BN214" i="1" s="1"/>
  <c r="BL217" i="1"/>
  <c r="BN217" i="1" s="1"/>
  <c r="BL218" i="1"/>
  <c r="BN218" i="1" s="1"/>
  <c r="BL201" i="1"/>
  <c r="BN201" i="1" s="1"/>
  <c r="BL208" i="1"/>
  <c r="BN208" i="1" s="1"/>
  <c r="BL233" i="1"/>
  <c r="BN233" i="1" s="1"/>
  <c r="BL247" i="1"/>
  <c r="BN247" i="1" s="1"/>
  <c r="BL234" i="1"/>
  <c r="BN234" i="1" s="1"/>
  <c r="BL235" i="1"/>
  <c r="BN235" i="1" s="1"/>
  <c r="BL236" i="1"/>
  <c r="BN236" i="1" s="1"/>
  <c r="BL237" i="1"/>
  <c r="BN237" i="1" s="1"/>
  <c r="BL238" i="1"/>
  <c r="BN238" i="1" s="1"/>
  <c r="BL248" i="1"/>
  <c r="BN248" i="1" s="1"/>
  <c r="BL249" i="1"/>
  <c r="BN249" i="1" s="1"/>
  <c r="BL250" i="1"/>
  <c r="BN250" i="1" s="1"/>
  <c r="BL251" i="1"/>
  <c r="BN251" i="1" s="1"/>
  <c r="BL252" i="1"/>
  <c r="BN252" i="1" s="1"/>
  <c r="BL253" i="1"/>
  <c r="BN253" i="1" s="1"/>
  <c r="BL255" i="1"/>
  <c r="BN255" i="1" s="1"/>
  <c r="BL254" i="1"/>
  <c r="BN254" i="1" s="1"/>
  <c r="BL259" i="1"/>
  <c r="BN259" i="1" s="1"/>
  <c r="BL258" i="1"/>
  <c r="BN258" i="1" s="1"/>
  <c r="BL256" i="1"/>
  <c r="BN256" i="1" s="1"/>
  <c r="BL257" i="1"/>
  <c r="BN257" i="1" s="1"/>
  <c r="BL230" i="1"/>
  <c r="BN230" i="1" s="1"/>
  <c r="BL231" i="1"/>
  <c r="BN231" i="1" s="1"/>
  <c r="BL15" i="1"/>
  <c r="BN15" i="1" s="1"/>
  <c r="BL17" i="1"/>
  <c r="BN17" i="1" s="1"/>
  <c r="BL232" i="1"/>
  <c r="BN232" i="1" s="1"/>
  <c r="BL19" i="1"/>
  <c r="BN19" i="1" s="1"/>
  <c r="BL20" i="1"/>
  <c r="BN20" i="1" s="1"/>
  <c r="BL21" i="1"/>
  <c r="BN21" i="1" s="1"/>
  <c r="BL227" i="1"/>
  <c r="BN227" i="1" s="1"/>
  <c r="BL228" i="1"/>
  <c r="BN228" i="1" s="1"/>
  <c r="BL229" i="1"/>
  <c r="BN229" i="1" s="1"/>
  <c r="BL45" i="1"/>
  <c r="BN45" i="1" s="1"/>
  <c r="BN48" i="1"/>
  <c r="BL49" i="1"/>
  <c r="BN49" i="1" s="1"/>
  <c r="BL23" i="1"/>
  <c r="BN23" i="1" s="1"/>
  <c r="BL24" i="1"/>
  <c r="BN24" i="1" s="1"/>
  <c r="BL25" i="1"/>
  <c r="BN25" i="1" s="1"/>
  <c r="BL38" i="1"/>
  <c r="BN38" i="1" s="1"/>
  <c r="BL33" i="1"/>
  <c r="BN33" i="1" s="1"/>
  <c r="BL239" i="1"/>
  <c r="BN239" i="1" s="1"/>
  <c r="BL57" i="1"/>
  <c r="BN57" i="1" s="1"/>
  <c r="BL50" i="1"/>
  <c r="BN50" i="1" s="1"/>
  <c r="BL59" i="1"/>
  <c r="BN59" i="1" s="1"/>
  <c r="BL43" i="1"/>
  <c r="BN43" i="1" s="1"/>
  <c r="BL7" i="1"/>
  <c r="BN7" i="1" s="1"/>
  <c r="BL3" i="1"/>
  <c r="BN3" i="1" s="1"/>
  <c r="BL65" i="1"/>
  <c r="BN65" i="1" s="1"/>
  <c r="BL66" i="1"/>
  <c r="BN66" i="1" s="1"/>
  <c r="BL67" i="1"/>
  <c r="BN67" i="1" s="1"/>
  <c r="BL68" i="1"/>
  <c r="BN68" i="1" s="1"/>
  <c r="BL69" i="1"/>
  <c r="BN69" i="1" s="1"/>
  <c r="BL70" i="1"/>
  <c r="BN70" i="1" s="1"/>
  <c r="BL71" i="1"/>
  <c r="BN71" i="1" s="1"/>
  <c r="BL72" i="1"/>
  <c r="BN72" i="1" s="1"/>
  <c r="BL73" i="1"/>
  <c r="BN73" i="1" s="1"/>
  <c r="BL74" i="1"/>
  <c r="BN74" i="1" s="1"/>
  <c r="BL75" i="1"/>
  <c r="BN75" i="1" s="1"/>
  <c r="BL76" i="1"/>
  <c r="BN76" i="1" s="1"/>
  <c r="BL6" i="1"/>
  <c r="BN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7"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G135" i="1" l="1"/>
  <c r="AI135" i="1" s="1"/>
  <c r="AG136" i="1"/>
  <c r="AI136" i="1" s="1"/>
  <c r="AG7" i="1"/>
  <c r="AI7" i="1" s="1"/>
  <c r="AG65" i="1"/>
  <c r="AI65" i="1" s="1"/>
  <c r="AG66" i="1"/>
  <c r="AI66" i="1" s="1"/>
  <c r="AG67" i="1"/>
  <c r="AI67" i="1" s="1"/>
  <c r="AG68" i="1"/>
  <c r="AI68" i="1" s="1"/>
  <c r="AG69" i="1"/>
  <c r="AI69" i="1" s="1"/>
  <c r="AG70" i="1"/>
  <c r="AI70"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7" i="1"/>
  <c r="AI87" i="1" s="1"/>
  <c r="AG88" i="1"/>
  <c r="AI88" i="1" s="1"/>
  <c r="AG177" i="1"/>
  <c r="AI177" i="1" s="1"/>
  <c r="AG89" i="1"/>
  <c r="AI89" i="1" s="1"/>
  <c r="AG90" i="1"/>
  <c r="AI90" i="1" s="1"/>
  <c r="AG91" i="1"/>
  <c r="AI91" i="1" s="1"/>
  <c r="AG92" i="1"/>
  <c r="AI92" i="1" s="1"/>
  <c r="AG93" i="1"/>
  <c r="AI93" i="1" s="1"/>
  <c r="AG94" i="1"/>
  <c r="AI94" i="1" s="1"/>
  <c r="AG95" i="1"/>
  <c r="AI95" i="1" s="1"/>
  <c r="AG96" i="1"/>
  <c r="AI96" i="1" s="1"/>
  <c r="AG97" i="1"/>
  <c r="AI97" i="1" s="1"/>
  <c r="AG98" i="1"/>
  <c r="AI98" i="1" s="1"/>
  <c r="AG85" i="1"/>
  <c r="AI85" i="1" s="1"/>
  <c r="AG99" i="1"/>
  <c r="AI99" i="1" s="1"/>
  <c r="AG100" i="1"/>
  <c r="AI100" i="1" s="1"/>
  <c r="AG101" i="1"/>
  <c r="AG102" i="1"/>
  <c r="AI102" i="1" s="1"/>
  <c r="AG103" i="1"/>
  <c r="AI103" i="1" s="1"/>
  <c r="AG104" i="1"/>
  <c r="AI104" i="1" s="1"/>
  <c r="AG105" i="1"/>
  <c r="AI105" i="1" s="1"/>
  <c r="AG106" i="1"/>
  <c r="AI106" i="1" s="1"/>
  <c r="AG107" i="1"/>
  <c r="AI107" i="1" s="1"/>
  <c r="AG108" i="1"/>
  <c r="AI108" i="1" s="1"/>
  <c r="AG110" i="1"/>
  <c r="AI110" i="1" s="1"/>
  <c r="AG111" i="1"/>
  <c r="AG112" i="1"/>
  <c r="AG113" i="1"/>
  <c r="AI113" i="1" s="1"/>
  <c r="AG114" i="1"/>
  <c r="AI114" i="1" s="1"/>
  <c r="AG115" i="1"/>
  <c r="AI115" i="1" s="1"/>
  <c r="AG116" i="1"/>
  <c r="AI116" i="1" s="1"/>
  <c r="AG117" i="1"/>
  <c r="AI117" i="1" s="1"/>
  <c r="AG118" i="1"/>
  <c r="AI118" i="1" s="1"/>
  <c r="AG120" i="1"/>
  <c r="AI120" i="1" s="1"/>
  <c r="AG119" i="1"/>
  <c r="AI119" i="1" s="1"/>
  <c r="AG121" i="1"/>
  <c r="AI121" i="1" s="1"/>
  <c r="AG122" i="1"/>
  <c r="AI122" i="1" s="1"/>
  <c r="AG123" i="1"/>
  <c r="AI123" i="1" s="1"/>
  <c r="AG124" i="1"/>
  <c r="AI124" i="1" s="1"/>
  <c r="AG125" i="1"/>
  <c r="AI125" i="1" s="1"/>
  <c r="AG126" i="1"/>
  <c r="AI126" i="1" s="1"/>
  <c r="AG127" i="1"/>
  <c r="AI127" i="1" s="1"/>
  <c r="AG128" i="1"/>
  <c r="AI128" i="1" s="1"/>
  <c r="AG129" i="1"/>
  <c r="AI129" i="1" s="1"/>
  <c r="AG131" i="1"/>
  <c r="AI131" i="1" s="1"/>
  <c r="AG132" i="1"/>
  <c r="AI132" i="1" s="1"/>
  <c r="AG133" i="1"/>
  <c r="AI133" i="1" s="1"/>
  <c r="AG134" i="1"/>
  <c r="AI134" i="1" s="1"/>
  <c r="AG137" i="1"/>
  <c r="AI137" i="1" s="1"/>
  <c r="AG139" i="1"/>
  <c r="AI139" i="1" s="1"/>
  <c r="AG140" i="1"/>
  <c r="AI140" i="1" s="1"/>
  <c r="AG141" i="1"/>
  <c r="AI141" i="1" s="1"/>
  <c r="AG142" i="1"/>
  <c r="AI142" i="1" s="1"/>
  <c r="AG143" i="1"/>
  <c r="AI143" i="1" s="1"/>
  <c r="AG144" i="1"/>
  <c r="AI144" i="1" s="1"/>
  <c r="AG145" i="1"/>
  <c r="AI145" i="1" s="1"/>
  <c r="AG147" i="1"/>
  <c r="AI147" i="1" s="1"/>
  <c r="AG148" i="1"/>
  <c r="AI148" i="1" s="1"/>
  <c r="AG149" i="1"/>
  <c r="AI149" i="1" s="1"/>
  <c r="AG150" i="1"/>
  <c r="AI150" i="1" s="1"/>
  <c r="AG151" i="1"/>
  <c r="AI151" i="1" s="1"/>
  <c r="AG186" i="1"/>
  <c r="AI186" i="1" s="1"/>
  <c r="AG152" i="1"/>
  <c r="AI152" i="1" s="1"/>
  <c r="AG153" i="1"/>
  <c r="AI153" i="1" s="1"/>
  <c r="AG154" i="1"/>
  <c r="AI154" i="1" s="1"/>
  <c r="AG146" i="1"/>
  <c r="AI146" i="1" s="1"/>
  <c r="AG155" i="1"/>
  <c r="AI155" i="1" s="1"/>
  <c r="AG156" i="1"/>
  <c r="AI156" i="1" s="1"/>
  <c r="AG157" i="1"/>
  <c r="AI157" i="1" s="1"/>
  <c r="AG158" i="1"/>
  <c r="AI158" i="1" s="1"/>
  <c r="AG159" i="1"/>
  <c r="AI159" i="1" s="1"/>
  <c r="AG160" i="1"/>
  <c r="AI160" i="1" s="1"/>
  <c r="AG161" i="1"/>
  <c r="AI161" i="1" s="1"/>
  <c r="AG162" i="1"/>
  <c r="AI162" i="1" s="1"/>
  <c r="AG163" i="1"/>
  <c r="AI163" i="1" s="1"/>
  <c r="AG164" i="1"/>
  <c r="AI164" i="1" s="1"/>
  <c r="AG165" i="1"/>
  <c r="AI165" i="1" s="1"/>
  <c r="AG166" i="1"/>
  <c r="AI166" i="1" s="1"/>
  <c r="AG168" i="1"/>
  <c r="AI168" i="1" s="1"/>
  <c r="AG170" i="1"/>
  <c r="AI170" i="1" s="1"/>
  <c r="AG171" i="1"/>
  <c r="AI171" i="1" s="1"/>
  <c r="AG172" i="1"/>
  <c r="AI172" i="1" s="1"/>
  <c r="AG173" i="1"/>
  <c r="AI173" i="1" s="1"/>
  <c r="AG174" i="1"/>
  <c r="AI174" i="1" s="1"/>
  <c r="AG175" i="1"/>
  <c r="AI175" i="1" s="1"/>
  <c r="AG109" i="1"/>
  <c r="AI109" i="1" s="1"/>
  <c r="AG178" i="1"/>
  <c r="AI178" i="1" s="1"/>
  <c r="AG179" i="1"/>
  <c r="AI179" i="1" s="1"/>
  <c r="AG180" i="1"/>
  <c r="AI180" i="1" s="1"/>
  <c r="AG181" i="1"/>
  <c r="AI181" i="1" s="1"/>
  <c r="AG138" i="1"/>
  <c r="AI138" i="1" s="1"/>
  <c r="AG185" i="1"/>
  <c r="AI185" i="1" s="1"/>
  <c r="AG188" i="1"/>
  <c r="AI188" i="1" s="1"/>
  <c r="AG183" i="1"/>
  <c r="AI183" i="1" s="1"/>
  <c r="AG220" i="1"/>
  <c r="AI220" i="1" s="1"/>
  <c r="AG206" i="1"/>
  <c r="AI206" i="1" s="1"/>
  <c r="AG213" i="1"/>
  <c r="AI213" i="1" s="1"/>
  <c r="AG225" i="1"/>
  <c r="AI225" i="1" s="1"/>
  <c r="AG199" i="1"/>
  <c r="AI199" i="1" s="1"/>
  <c r="AG195" i="1"/>
  <c r="AI195" i="1" s="1"/>
  <c r="AG191" i="1"/>
  <c r="AI191" i="1" s="1"/>
  <c r="AG211" i="1"/>
  <c r="AI211" i="1" s="1"/>
  <c r="AG226" i="1"/>
  <c r="AI226" i="1" s="1"/>
  <c r="AG221" i="1"/>
  <c r="AI221" i="1" s="1"/>
  <c r="AG224" i="1"/>
  <c r="AI224" i="1" s="1"/>
  <c r="AG196" i="1"/>
  <c r="AI196" i="1" s="1"/>
  <c r="AG204" i="1"/>
  <c r="AI204" i="1" s="1"/>
  <c r="AG182" i="1"/>
  <c r="AI182" i="1" s="1"/>
  <c r="AG184" i="1"/>
  <c r="AI184" i="1" s="1"/>
  <c r="AG190" i="1"/>
  <c r="AI190" i="1" s="1"/>
  <c r="AG189" i="1"/>
  <c r="AI189" i="1" s="1"/>
  <c r="AG197" i="1"/>
  <c r="AI197" i="1" s="1"/>
  <c r="AG200" i="1"/>
  <c r="AI200" i="1" s="1"/>
  <c r="AG203" i="1"/>
  <c r="AI203" i="1" s="1"/>
  <c r="AG205" i="1"/>
  <c r="AI205" i="1" s="1"/>
  <c r="AG198" i="1"/>
  <c r="AI198" i="1" s="1"/>
  <c r="AG222" i="1"/>
  <c r="AI222" i="1" s="1"/>
  <c r="AG210" i="1"/>
  <c r="AI210" i="1" s="1"/>
  <c r="AG214" i="1"/>
  <c r="AI214" i="1" s="1"/>
  <c r="AG217" i="1"/>
  <c r="AI217" i="1" s="1"/>
  <c r="AG218" i="1"/>
  <c r="AI218" i="1" s="1"/>
  <c r="AG201" i="1"/>
  <c r="AI201" i="1" s="1"/>
  <c r="AG208" i="1"/>
  <c r="AI208" i="1" s="1"/>
  <c r="AG233" i="1"/>
  <c r="AI233" i="1" s="1"/>
  <c r="AG247" i="1"/>
  <c r="AI247" i="1" s="1"/>
  <c r="AG234" i="1"/>
  <c r="AI234" i="1" s="1"/>
  <c r="AG235" i="1"/>
  <c r="AI235" i="1" s="1"/>
  <c r="AG236" i="1"/>
  <c r="AI236" i="1" s="1"/>
  <c r="AG237" i="1"/>
  <c r="AI237" i="1" s="1"/>
  <c r="AG238" i="1"/>
  <c r="AI238" i="1" s="1"/>
  <c r="AG248" i="1"/>
  <c r="AI248" i="1" s="1"/>
  <c r="AG249" i="1"/>
  <c r="AI249" i="1" s="1"/>
  <c r="AG250" i="1"/>
  <c r="AI250" i="1" s="1"/>
  <c r="AG251" i="1"/>
  <c r="AI251" i="1" s="1"/>
  <c r="AG252" i="1"/>
  <c r="AI252" i="1" s="1"/>
  <c r="AG253" i="1"/>
  <c r="AI253" i="1" s="1"/>
  <c r="AG255" i="1"/>
  <c r="AI255" i="1" s="1"/>
  <c r="AG254" i="1"/>
  <c r="AI254" i="1" s="1"/>
  <c r="AG259" i="1"/>
  <c r="AI259" i="1" s="1"/>
  <c r="AG258" i="1"/>
  <c r="AI258" i="1" s="1"/>
  <c r="AG256" i="1"/>
  <c r="AI256" i="1" s="1"/>
  <c r="AG257" i="1"/>
  <c r="AI257" i="1" s="1"/>
  <c r="AG230" i="1"/>
  <c r="AI230" i="1" s="1"/>
  <c r="AG231" i="1"/>
  <c r="AI231" i="1" s="1"/>
  <c r="AG15" i="1"/>
  <c r="AI15" i="1" s="1"/>
  <c r="AG17" i="1"/>
  <c r="AI17" i="1" s="1"/>
  <c r="AG232" i="1"/>
  <c r="AI232" i="1" s="1"/>
  <c r="AG19" i="1"/>
  <c r="AI19" i="1" s="1"/>
  <c r="AG20" i="1"/>
  <c r="AI20" i="1" s="1"/>
  <c r="AG21" i="1"/>
  <c r="AI21" i="1" s="1"/>
  <c r="AG227" i="1"/>
  <c r="AI227" i="1" s="1"/>
  <c r="AG228" i="1"/>
  <c r="AI228" i="1" s="1"/>
  <c r="AG229" i="1"/>
  <c r="AI229" i="1" s="1"/>
  <c r="AG45" i="1"/>
  <c r="AI45" i="1" s="1"/>
  <c r="AG49" i="1"/>
  <c r="AI49" i="1" s="1"/>
  <c r="AG23" i="1"/>
  <c r="AI23" i="1" s="1"/>
  <c r="AG24" i="1"/>
  <c r="AI24" i="1" s="1"/>
  <c r="AG25" i="1"/>
  <c r="AI25" i="1" s="1"/>
  <c r="AG29" i="1"/>
  <c r="AI29" i="1" s="1"/>
  <c r="AG31" i="1"/>
  <c r="AG38" i="1"/>
  <c r="AI38" i="1" s="1"/>
  <c r="AG33" i="1"/>
  <c r="AI33" i="1" s="1"/>
  <c r="AG239" i="1"/>
  <c r="AI239" i="1" s="1"/>
  <c r="AG57" i="1"/>
  <c r="AI57" i="1" s="1"/>
  <c r="AG50" i="1"/>
  <c r="AI50" i="1" s="1"/>
  <c r="AG59" i="1"/>
  <c r="AI59" i="1" s="1"/>
  <c r="AG43" i="1"/>
  <c r="AI43" i="1" s="1"/>
  <c r="AG6" i="1"/>
  <c r="AI6" i="1" s="1"/>
  <c r="AI112" i="1" s="1"/>
  <c r="AF31" i="1" l="1"/>
  <c r="AI31" i="1"/>
  <c r="AI111" i="1"/>
  <c r="AI101" i="1"/>
  <c r="AF29" i="1"/>
  <c r="AF239" i="1"/>
  <c r="AF101" i="1"/>
  <c r="AF112" i="1"/>
  <c r="AF111" i="1"/>
  <c r="AF6" i="1"/>
  <c r="AF98" i="1"/>
  <c r="AF94" i="1"/>
  <c r="AF90" i="1"/>
  <c r="AF87" i="1"/>
  <c r="AF81" i="1"/>
  <c r="AF77" i="1"/>
  <c r="AF73" i="1"/>
  <c r="AF69" i="1"/>
  <c r="AF65" i="1"/>
  <c r="AF229" i="1"/>
  <c r="AF17" i="1"/>
  <c r="AF254" i="1"/>
  <c r="AF201" i="1"/>
  <c r="AF189" i="1"/>
  <c r="AF199" i="1"/>
  <c r="AF173" i="1"/>
  <c r="AF159" i="1"/>
  <c r="AF149" i="1"/>
  <c r="AF133" i="1"/>
  <c r="AF125" i="1"/>
  <c r="AF114" i="1"/>
  <c r="AF255" i="1"/>
  <c r="AF218" i="1"/>
  <c r="AF190" i="1"/>
  <c r="AF211" i="1"/>
  <c r="AF181" i="1"/>
  <c r="AF166" i="1"/>
  <c r="AF146" i="1"/>
  <c r="AF143" i="1"/>
  <c r="AF132" i="1"/>
  <c r="AF124" i="1"/>
  <c r="AF119" i="1"/>
  <c r="AF113" i="1"/>
  <c r="AF104" i="1"/>
  <c r="AF100" i="1"/>
  <c r="AF97" i="1"/>
  <c r="AF89" i="1"/>
  <c r="AF84" i="1"/>
  <c r="AF80" i="1"/>
  <c r="AF76" i="1"/>
  <c r="AF72" i="1"/>
  <c r="AF68" i="1"/>
  <c r="AF7" i="1"/>
  <c r="AF59" i="1"/>
  <c r="AF49" i="1"/>
  <c r="AF251" i="1"/>
  <c r="AF234" i="1"/>
  <c r="AF205" i="1"/>
  <c r="AF226" i="1"/>
  <c r="AF138" i="1"/>
  <c r="AF168" i="1"/>
  <c r="AF155" i="1"/>
  <c r="AF144" i="1"/>
  <c r="AF129" i="1"/>
  <c r="AF117" i="1"/>
  <c r="AF110" i="1"/>
  <c r="AF25" i="1"/>
  <c r="AF228" i="1"/>
  <c r="AF15" i="1"/>
  <c r="AF250" i="1"/>
  <c r="AF247" i="1"/>
  <c r="AF210" i="1"/>
  <c r="AF196" i="1"/>
  <c r="AF183" i="1"/>
  <c r="AF172" i="1"/>
  <c r="AF162" i="1"/>
  <c r="AF158" i="1"/>
  <c r="AF148" i="1"/>
  <c r="AF139" i="1"/>
  <c r="AF128" i="1"/>
  <c r="AF116" i="1"/>
  <c r="AF108" i="1"/>
  <c r="AF50" i="1"/>
  <c r="AF38" i="1"/>
  <c r="AF19" i="1"/>
  <c r="AF231" i="1"/>
  <c r="AF258" i="1"/>
  <c r="AF253" i="1"/>
  <c r="AF249" i="1"/>
  <c r="AF236" i="1"/>
  <c r="AF233" i="1"/>
  <c r="AF217" i="1"/>
  <c r="AF222" i="1"/>
  <c r="AF200" i="1"/>
  <c r="AF184" i="1"/>
  <c r="AF224" i="1"/>
  <c r="AF191" i="1"/>
  <c r="AF213" i="1"/>
  <c r="AF188" i="1"/>
  <c r="AF180" i="1"/>
  <c r="AF175" i="1"/>
  <c r="AF171" i="1"/>
  <c r="AF165" i="1"/>
  <c r="AF161" i="1"/>
  <c r="AF157" i="1"/>
  <c r="AF154" i="1"/>
  <c r="AF151" i="1"/>
  <c r="AF147" i="1"/>
  <c r="AF142" i="1"/>
  <c r="AF137" i="1"/>
  <c r="AF131" i="1"/>
  <c r="AF127" i="1"/>
  <c r="AF123" i="1"/>
  <c r="AF120" i="1"/>
  <c r="AF115" i="1"/>
  <c r="AF107" i="1"/>
  <c r="AF103" i="1"/>
  <c r="AF99" i="1"/>
  <c r="AF96" i="1"/>
  <c r="AF177" i="1"/>
  <c r="AF83" i="1"/>
  <c r="AF79" i="1"/>
  <c r="AF75" i="1"/>
  <c r="AF71" i="1"/>
  <c r="AF67" i="1"/>
  <c r="AF136" i="1"/>
  <c r="AF21" i="1"/>
  <c r="AF257" i="1"/>
  <c r="AF238" i="1"/>
  <c r="AF192" i="1"/>
  <c r="AF204" i="1"/>
  <c r="AF220" i="1"/>
  <c r="AF178" i="1"/>
  <c r="AF163" i="1"/>
  <c r="AF152" i="1"/>
  <c r="AF140" i="1"/>
  <c r="AF121" i="1"/>
  <c r="AF105" i="1"/>
  <c r="AF33" i="1"/>
  <c r="AF20" i="1"/>
  <c r="AF256" i="1"/>
  <c r="AF237" i="1"/>
  <c r="AF203" i="1"/>
  <c r="AF225" i="1"/>
  <c r="AF109" i="1"/>
  <c r="AF186" i="1"/>
  <c r="AF24" i="1"/>
  <c r="AF227" i="1"/>
  <c r="AF43" i="1"/>
  <c r="AF57" i="1"/>
  <c r="AF23" i="1"/>
  <c r="AF45" i="1"/>
  <c r="AF232" i="1"/>
  <c r="AF230" i="1"/>
  <c r="AF259" i="1"/>
  <c r="AF252" i="1"/>
  <c r="AF248" i="1"/>
  <c r="AF235" i="1"/>
  <c r="AF208" i="1"/>
  <c r="AF214" i="1"/>
  <c r="AF198" i="1"/>
  <c r="AF197" i="1"/>
  <c r="AF182" i="1"/>
  <c r="AF221" i="1"/>
  <c r="AF195" i="1"/>
  <c r="AF206" i="1"/>
  <c r="AF185" i="1"/>
  <c r="AF179" i="1"/>
  <c r="AF174" i="1"/>
  <c r="AF170" i="1"/>
  <c r="AF164" i="1"/>
  <c r="AF160" i="1"/>
  <c r="AF156" i="1"/>
  <c r="AF153" i="1"/>
  <c r="AF150" i="1"/>
  <c r="AF145" i="1"/>
  <c r="AF141" i="1"/>
  <c r="AF134" i="1"/>
  <c r="AF130" i="1"/>
  <c r="AF126" i="1"/>
  <c r="AF122" i="1"/>
  <c r="AF118" i="1"/>
  <c r="AF106" i="1"/>
  <c r="AF102" i="1"/>
  <c r="AF85" i="1"/>
  <c r="AF95" i="1"/>
  <c r="AF91" i="1"/>
  <c r="AF88" i="1"/>
  <c r="AF82" i="1"/>
  <c r="AF78" i="1"/>
  <c r="AF74" i="1"/>
  <c r="AF70" i="1"/>
  <c r="AF66" i="1"/>
  <c r="AF135" i="1"/>
  <c r="AF93" i="1"/>
  <c r="AF92" i="1"/>
  <c r="K199" i="1" l="1"/>
  <c r="AU199" i="1" s="1"/>
  <c r="K225" i="1"/>
  <c r="AU225" i="1" s="1"/>
  <c r="T183" i="1"/>
  <c r="X183" i="1" s="1"/>
  <c r="BA225" i="1" l="1"/>
  <c r="BB225" i="1"/>
  <c r="BB199" i="1"/>
  <c r="BA199" i="1"/>
  <c r="T185" i="1"/>
  <c r="X185" i="1" s="1"/>
  <c r="T138" i="1"/>
  <c r="X138" i="1" s="1"/>
  <c r="K148" i="1" l="1"/>
  <c r="AU148" i="1" s="1"/>
  <c r="K142" i="1"/>
  <c r="AU142" i="1" s="1"/>
  <c r="BA142" i="1" l="1"/>
  <c r="BB142" i="1"/>
  <c r="BB148" i="1"/>
  <c r="BA148" i="1"/>
  <c r="T97" i="1"/>
  <c r="X97" i="1" s="1"/>
  <c r="T78" i="1"/>
  <c r="X78" i="1" s="1"/>
</calcChain>
</file>

<file path=xl/sharedStrings.xml><?xml version="1.0" encoding="utf-8"?>
<sst xmlns="http://schemas.openxmlformats.org/spreadsheetml/2006/main" count="2693" uniqueCount="1226">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</sst>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S259"/>
  <sheetViews>
    <sheetView tabSelected="1" workbookViewId="0">
      <pane xSplit="1" ySplit="1" topLeftCell="BJ2" activePane="bottomRight" state="frozenSplit"/>
      <selection pane="topRight" activeCell="B1" sqref="B1"/>
      <selection pane="bottomLeft" activeCell="A2" sqref="A2"/>
      <selection pane="bottomRight" activeCell="BR2" sqref="BR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3" width="9.42578125" customWidth="1"/>
    <col min="44" max="44" width="18.7109375" bestFit="1" customWidth="1"/>
    <col min="45" max="45" width="19.140625" bestFit="1" customWidth="1"/>
    <col min="46" max="46" width="19.7109375" bestFit="1" customWidth="1"/>
    <col min="47" max="47" width="20" bestFit="1" customWidth="1"/>
    <col min="48" max="48" width="16" bestFit="1" customWidth="1"/>
    <col min="49" max="49" width="16" customWidth="1"/>
    <col min="50" max="50" width="16.7109375" bestFit="1" customWidth="1"/>
    <col min="51" max="52" width="16" customWidth="1"/>
    <col min="62" max="62" width="16.85546875" bestFit="1" customWidth="1"/>
    <col min="63" max="63" width="15.5703125" bestFit="1" customWidth="1"/>
    <col min="65" max="65" width="15.7109375" bestFit="1" customWidth="1"/>
    <col min="66" max="66" width="21.7109375" bestFit="1" customWidth="1"/>
    <col min="67" max="67" width="38.42578125" bestFit="1" customWidth="1"/>
    <col min="68" max="68" width="38.42578125" customWidth="1"/>
  </cols>
  <sheetData>
    <row r="1" spans="1:71" s="1" customFormat="1" x14ac:dyDescent="0.25">
      <c r="A1" s="1" t="s">
        <v>155</v>
      </c>
      <c r="B1" s="1" t="s">
        <v>156</v>
      </c>
      <c r="C1" s="1" t="s">
        <v>784</v>
      </c>
      <c r="D1" s="1" t="s">
        <v>154</v>
      </c>
      <c r="E1" s="1" t="s">
        <v>312</v>
      </c>
      <c r="F1" s="1" t="s">
        <v>315</v>
      </c>
      <c r="G1" s="1" t="s">
        <v>158</v>
      </c>
      <c r="H1" s="1" t="s">
        <v>159</v>
      </c>
      <c r="I1" s="1" t="s">
        <v>160</v>
      </c>
      <c r="J1" s="1" t="s">
        <v>161</v>
      </c>
      <c r="K1" s="1" t="s">
        <v>162</v>
      </c>
      <c r="L1" s="8" t="s">
        <v>597</v>
      </c>
      <c r="M1" s="5" t="s">
        <v>417</v>
      </c>
      <c r="N1" s="5" t="s">
        <v>414</v>
      </c>
      <c r="O1" s="5" t="s">
        <v>415</v>
      </c>
      <c r="P1" s="5" t="s">
        <v>412</v>
      </c>
      <c r="Q1" s="5" t="s">
        <v>413</v>
      </c>
      <c r="R1" s="5" t="s">
        <v>418</v>
      </c>
      <c r="S1" s="5" t="s">
        <v>416</v>
      </c>
      <c r="T1" s="1" t="s">
        <v>163</v>
      </c>
      <c r="U1" s="8" t="s">
        <v>164</v>
      </c>
      <c r="V1" s="1" t="s">
        <v>318</v>
      </c>
      <c r="W1" s="1" t="s">
        <v>165</v>
      </c>
      <c r="X1" s="3" t="s">
        <v>306</v>
      </c>
      <c r="Y1" s="1" t="s">
        <v>166</v>
      </c>
      <c r="Z1" s="1" t="s">
        <v>422</v>
      </c>
      <c r="AA1" s="1" t="s">
        <v>167</v>
      </c>
      <c r="AB1" s="1" t="s">
        <v>327</v>
      </c>
      <c r="AC1" s="1" t="s">
        <v>285</v>
      </c>
      <c r="AD1" s="1" t="s">
        <v>168</v>
      </c>
      <c r="AE1" s="10" t="s">
        <v>305</v>
      </c>
      <c r="AF1" s="1" t="s">
        <v>157</v>
      </c>
      <c r="AG1" s="1" t="s">
        <v>310</v>
      </c>
      <c r="AH1" s="1" t="s">
        <v>333</v>
      </c>
      <c r="AI1" s="1" t="s">
        <v>286</v>
      </c>
      <c r="AJ1" s="12" t="s">
        <v>742</v>
      </c>
      <c r="AK1" s="1" t="s">
        <v>452</v>
      </c>
      <c r="AL1" s="1" t="s">
        <v>608</v>
      </c>
      <c r="AM1" s="1" t="s">
        <v>453</v>
      </c>
      <c r="AN1" s="1" t="s">
        <v>535</v>
      </c>
      <c r="AO1" s="1" t="s">
        <v>311</v>
      </c>
      <c r="AP1" s="1" t="s">
        <v>1161</v>
      </c>
      <c r="AQ1" s="1" t="s">
        <v>1188</v>
      </c>
      <c r="AR1" s="1" t="s">
        <v>1162</v>
      </c>
      <c r="AS1" s="1" t="s">
        <v>1179</v>
      </c>
      <c r="AT1" s="1" t="s">
        <v>1163</v>
      </c>
      <c r="AU1" s="1" t="s">
        <v>1164</v>
      </c>
      <c r="AV1" s="1" t="s">
        <v>1165</v>
      </c>
      <c r="AW1" s="1" t="s">
        <v>1168</v>
      </c>
      <c r="AX1" s="1" t="s">
        <v>1174</v>
      </c>
      <c r="AY1" s="1" t="s">
        <v>1169</v>
      </c>
      <c r="AZ1" s="1" t="s">
        <v>1173</v>
      </c>
      <c r="BA1" s="1" t="s">
        <v>319</v>
      </c>
      <c r="BB1" s="1" t="s">
        <v>320</v>
      </c>
      <c r="BC1" s="1" t="s">
        <v>349</v>
      </c>
      <c r="BD1" s="1" t="s">
        <v>1180</v>
      </c>
      <c r="BE1" s="1" t="s">
        <v>622</v>
      </c>
      <c r="BF1" s="1" t="s">
        <v>717</v>
      </c>
      <c r="BG1" s="1" t="s">
        <v>1181</v>
      </c>
      <c r="BH1" s="1" t="s">
        <v>1194</v>
      </c>
      <c r="BI1" s="1" t="s">
        <v>1217</v>
      </c>
      <c r="BJ1" s="1" t="s">
        <v>1111</v>
      </c>
      <c r="BK1" s="1" t="s">
        <v>324</v>
      </c>
      <c r="BL1" s="1" t="s">
        <v>365</v>
      </c>
      <c r="BM1" s="1" t="s">
        <v>386</v>
      </c>
      <c r="BN1" s="1" t="s">
        <v>388</v>
      </c>
      <c r="BO1" s="1" t="s">
        <v>1190</v>
      </c>
      <c r="BP1" s="1" t="s">
        <v>1224</v>
      </c>
      <c r="BQ1" s="1" t="s">
        <v>1189</v>
      </c>
      <c r="BR1" s="1" t="s">
        <v>1225</v>
      </c>
      <c r="BS1" s="1" t="s">
        <v>389</v>
      </c>
    </row>
    <row r="2" spans="1:71" x14ac:dyDescent="0.25">
      <c r="A2" t="s">
        <v>471</v>
      </c>
      <c r="B2" t="s">
        <v>472</v>
      </c>
      <c r="C2">
        <v>-1</v>
      </c>
      <c r="D2" t="s">
        <v>333</v>
      </c>
      <c r="E2" t="s">
        <v>333</v>
      </c>
      <c r="F2" t="s">
        <v>316</v>
      </c>
      <c r="G2">
        <v>1900</v>
      </c>
      <c r="T2">
        <v>42</v>
      </c>
      <c r="X2" s="4" t="str">
        <f>IF(AND(T2&gt;0,W2&gt;0),(W2/((T2+U2)*10)),"")</f>
        <v/>
      </c>
      <c r="AA2">
        <v>7.5</v>
      </c>
      <c r="AB2">
        <v>8</v>
      </c>
      <c r="AE2" s="11">
        <v>0</v>
      </c>
      <c r="AF2" t="str">
        <f>CONCATENATE(VLOOKUP(AG2, 'Voxel Sizes'!$A$2:$B$18,2,FALSE),"x",INT(AC2*15), "x", INT(AD2*15))</f>
        <v>82x0x0</v>
      </c>
      <c r="AG2">
        <f>ROUND(15*((AB2*10)/256),0)</f>
        <v>5</v>
      </c>
      <c r="AI2" t="str">
        <f>CONCATENATE(VLOOKUP(AG2,Constants!$A$2:$C$16,IF(AH2&lt;&gt;"", 3, 2), FALSE),IF(AH2&lt;&gt;"",CONCATENATE(",",VLOOKUP(AH2,$B:$AI,34,FALSE)),""))</f>
        <v>2,1,2</v>
      </c>
      <c r="AP2">
        <v>40</v>
      </c>
      <c r="AQ2" t="str">
        <f>IF(I2&lt;&gt;"",MAX(8,(I2-G2)-4),"")</f>
        <v/>
      </c>
      <c r="AT2">
        <f>MIN(Y2/150, 1)*30</f>
        <v>0</v>
      </c>
      <c r="AU2">
        <f>MIN(K2/4000, 1)*20</f>
        <v>0</v>
      </c>
      <c r="AV2">
        <f>MIN(W2/400,1)*20</f>
        <v>0</v>
      </c>
      <c r="AW2" s="4">
        <v>1</v>
      </c>
      <c r="AX2">
        <f>((MAX($J2,1)*MIN($AE2/300,1)))*IF(D2="Wagon",50,10)</f>
        <v>0</v>
      </c>
      <c r="AY2">
        <f>VLOOKUP($E2,Constants!$I:$K, 2, FALSE)</f>
        <v>0</v>
      </c>
      <c r="AZ2">
        <f>VLOOKUP($E2,Constants!$I:$K, 3, FALSE)*IF(AND(D2="multiple_unit",Y2&lt;110),0.75,1)</f>
        <v>0</v>
      </c>
      <c r="BA2">
        <f>INT(((Constants!$G$2+$AS2+$AT2+$AU2+$AV2+$AX2)*$AW2)*$AZ2)</f>
        <v>0</v>
      </c>
      <c r="BB2">
        <f>INT(((Constants!$G$1+$AR2+$AT2+$AU2+$AV2+$AX2)*(1/$AW2))*$AY2)</f>
        <v>0</v>
      </c>
      <c r="BL2" t="str">
        <f>VLOOKUP(G2,Eras!$A$2:$C$10, 2, TRUE)</f>
        <v>edw</v>
      </c>
      <c r="BN2" t="str">
        <f>CONCATENATE(BL2,"_",BM2)</f>
        <v>edw_</v>
      </c>
      <c r="BO2" t="str">
        <f>IF(AND(BD2&lt;&gt;Y2,BD2&lt;&gt;""),_xlfn.CONCAT("{BLACK}","Tare speed: ","{GOLD}{VELOCITY}{}"), "")</f>
        <v/>
      </c>
      <c r="BP2" t="str">
        <f>IF(J2&gt;1,_xlfn.CONCAT("{BLACK}Cars: {GOLD}", J2, "{}"),"")</f>
        <v/>
      </c>
      <c r="BR2" t="str">
        <f>IF(BK2="BRAKE","{YELLOW}Speed bonus for slow wagons (when loaded){}","")</f>
        <v/>
      </c>
      <c r="BS2" t="str">
        <f>_xlfn.CONCAT(BO2,BP2,BR2,"{SILVER}", BQ2)</f>
        <v>{SILVER}</v>
      </c>
    </row>
    <row r="3" spans="1:71" x14ac:dyDescent="0.25">
      <c r="A3" t="s">
        <v>350</v>
      </c>
      <c r="B3" t="s">
        <v>351</v>
      </c>
      <c r="C3">
        <v>-1</v>
      </c>
      <c r="D3" t="s">
        <v>333</v>
      </c>
      <c r="E3" t="s">
        <v>333</v>
      </c>
      <c r="F3" t="s">
        <v>316</v>
      </c>
      <c r="G3">
        <v>1900</v>
      </c>
      <c r="T3">
        <v>42</v>
      </c>
      <c r="X3" s="4" t="str">
        <f>IF(AND(T3&gt;0,W3&gt;0),(W3/((T3+U3)*10)),"")</f>
        <v/>
      </c>
      <c r="AA3">
        <v>7.5</v>
      </c>
      <c r="AB3">
        <v>8</v>
      </c>
      <c r="AE3" s="11">
        <v>0</v>
      </c>
      <c r="AF3" t="str">
        <f>CONCATENATE(VLOOKUP(AG3, 'Voxel Sizes'!$A$2:$B$18,2,FALSE),"x",INT(AC3*15), "x", INT(AD3*15))</f>
        <v>82x0x0</v>
      </c>
      <c r="AG3">
        <f>ROUND(15*((AB3*10)/256),0)</f>
        <v>5</v>
      </c>
      <c r="AI3" t="str">
        <f>CONCATENATE(VLOOKUP(AG3,Constants!$A$2:$C$16,IF(AH3&lt;&gt;"", 3, 2), FALSE),IF(AH3&lt;&gt;"",CONCATENATE(",",VLOOKUP(AH3,$B:$AI,34,FALSE)),""))</f>
        <v>2,1,2</v>
      </c>
      <c r="AP3">
        <v>40</v>
      </c>
      <c r="AQ3" t="str">
        <f>IF(I3&lt;&gt;"",MAX(8,(I3-G3)-4),"")</f>
        <v/>
      </c>
      <c r="AT3">
        <f>MIN(Y3/150, 1)*30</f>
        <v>0</v>
      </c>
      <c r="AU3">
        <f>MIN(K3/4000, 1)*20</f>
        <v>0</v>
      </c>
      <c r="AV3">
        <f>MIN(W3/400,1)*20</f>
        <v>0</v>
      </c>
      <c r="AW3" s="4">
        <v>1</v>
      </c>
      <c r="AX3">
        <f>((MAX($J3,1)*MIN($AE3/300,1)))*IF(D3="Wagon",50,10)</f>
        <v>0</v>
      </c>
      <c r="AY3">
        <f>VLOOKUP($E3,Constants!$I:$K, 2, FALSE)</f>
        <v>0</v>
      </c>
      <c r="AZ3">
        <f>VLOOKUP($E3,Constants!$I:$K, 3, FALSE)*IF(AND(D3="multiple_unit",Y3&lt;110),0.75,1)</f>
        <v>0</v>
      </c>
      <c r="BA3">
        <f>INT(((Constants!$G$2+$AT3+$AU3+$AV3+$AX3)*$AW3)*$AZ3)+$AS3</f>
        <v>0</v>
      </c>
      <c r="BB3">
        <f>INT(((Constants!$G$1+$AT3+$AU3+$AV3+$AX3)*(1/$AW3))*$AY3)+$AR3</f>
        <v>0</v>
      </c>
      <c r="BL3" t="str">
        <f>VLOOKUP(G3,Eras!$A$2:$C$10, 2, TRUE)</f>
        <v>edw</v>
      </c>
      <c r="BN3" t="str">
        <f>CONCATENATE(BL3,"_",BM3)</f>
        <v>edw_</v>
      </c>
      <c r="BO3" t="str">
        <f t="shared" ref="BO3:BO66" si="0">IF(AND(BD3&lt;&gt;Y3,BD3&lt;&gt;""),_xlfn.CONCAT("{BLACK}","Tare speed: ","{GOLD}{VELOCITY}{}"), "")</f>
        <v/>
      </c>
      <c r="BP3" t="str">
        <f t="shared" ref="BP3:BP66" si="1">IF(J3&gt;1,_xlfn.CONCAT("{BLACK}Cars: {GOLD}", J3, "{}"),"")</f>
        <v/>
      </c>
      <c r="BR3" t="str">
        <f t="shared" ref="BR3:BR66" si="2">IF(BK3="BRAKE","{GOLD}Speed bonus for some loaded wagons{}","")</f>
        <v/>
      </c>
      <c r="BS3" t="str">
        <f t="shared" ref="BS3:BS66" si="3">_xlfn.CONCAT(BO3,BP3,BR3,"{SILVER}", BQ3)</f>
        <v>{SILVER}</v>
      </c>
    </row>
    <row r="4" spans="1:71" x14ac:dyDescent="0.25">
      <c r="A4" t="s">
        <v>440</v>
      </c>
      <c r="B4" t="s">
        <v>441</v>
      </c>
      <c r="C4">
        <v>-1</v>
      </c>
      <c r="D4" t="s">
        <v>333</v>
      </c>
      <c r="E4" t="s">
        <v>333</v>
      </c>
      <c r="F4" t="s">
        <v>316</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P4">
        <v>40</v>
      </c>
      <c r="AQ4" t="str">
        <f>IF(I4&lt;&gt;"",MAX(8,(I4-G4)-4),"")</f>
        <v/>
      </c>
      <c r="AT4">
        <f>MIN(Y4/150, 1)*30</f>
        <v>0</v>
      </c>
      <c r="AU4">
        <f>MIN(K4/4000, 1)*20</f>
        <v>0</v>
      </c>
      <c r="AV4">
        <f>MIN(W4/400,1)*20</f>
        <v>0</v>
      </c>
      <c r="AW4" s="4">
        <v>1</v>
      </c>
      <c r="AX4">
        <f>((MAX($J4,1)*MIN($AE4/300,1)))*IF(D4="Wagon",50,10)</f>
        <v>0</v>
      </c>
      <c r="AY4">
        <f>VLOOKUP($E4,Constants!$I:$K, 2, FALSE)</f>
        <v>0</v>
      </c>
      <c r="AZ4">
        <f>VLOOKUP($E4,Constants!$I:$K, 3, FALSE)*IF(AND(D4="multiple_unit",Y4&lt;110),0.75,1)</f>
        <v>0</v>
      </c>
      <c r="BA4">
        <f>INT(((Constants!$G$2+$AT4+$AU4+$AV4+$AX4)*$AW4)*$AZ4)+$AS4</f>
        <v>0</v>
      </c>
      <c r="BB4">
        <f>INT(((Constants!$G$1+$AT4+$AU4+$AV4+$AX4)*(1/$AW4))*$AY4)+$AR4</f>
        <v>0</v>
      </c>
      <c r="BL4" t="str">
        <f>VLOOKUP(G4,Eras!$A$2:$C$10, 2, TRUE)</f>
        <v>edw</v>
      </c>
      <c r="BN4" t="str">
        <f>CONCATENATE(BL4,"_",BM4)</f>
        <v>edw_</v>
      </c>
      <c r="BO4" t="str">
        <f t="shared" si="0"/>
        <v/>
      </c>
      <c r="BP4" t="str">
        <f t="shared" si="1"/>
        <v/>
      </c>
      <c r="BR4" t="str">
        <f t="shared" si="2"/>
        <v/>
      </c>
      <c r="BS4" t="str">
        <f t="shared" si="3"/>
        <v>{SILVER}</v>
      </c>
    </row>
    <row r="5" spans="1:71" x14ac:dyDescent="0.25">
      <c r="A5" t="s">
        <v>491</v>
      </c>
      <c r="B5" t="s">
        <v>492</v>
      </c>
      <c r="C5">
        <v>-1</v>
      </c>
      <c r="D5" t="s">
        <v>333</v>
      </c>
      <c r="E5" t="s">
        <v>333</v>
      </c>
      <c r="F5" t="s">
        <v>316</v>
      </c>
      <c r="G5">
        <v>1925</v>
      </c>
      <c r="T5">
        <v>52</v>
      </c>
      <c r="X5" s="4" t="str">
        <f>IF(AND(T5&gt;0,W5&gt;0),(W5/((T5+U5)*10)),"")</f>
        <v/>
      </c>
      <c r="AA5">
        <v>7.64</v>
      </c>
      <c r="AB5">
        <v>8</v>
      </c>
      <c r="AE5" s="11">
        <v>0</v>
      </c>
      <c r="AF5" t="str">
        <f>CONCATENATE(VLOOKUP(AG5, 'Voxel Sizes'!$A$2:$B$18,2,FALSE),"x",INT(AC5*15), "x", INT(AD5*15))</f>
        <v>82x0x0</v>
      </c>
      <c r="AG5">
        <f>ROUND(15*((AB5*10)/256),0)</f>
        <v>5</v>
      </c>
      <c r="AI5" t="str">
        <f>CONCATENATE(VLOOKUP(AG5,Constants!$A$2:$C$16,IF(AH5&lt;&gt;"", 3, 2), FALSE),IF(AH5&lt;&gt;"",CONCATENATE(",",VLOOKUP(AH5,$B:$AI,34,FALSE)),""))</f>
        <v>2,1,2</v>
      </c>
      <c r="AP5">
        <v>40</v>
      </c>
      <c r="AQ5" t="str">
        <f>IF(I5&lt;&gt;"",MAX(8,(I5-G5)-4),"")</f>
        <v/>
      </c>
      <c r="AT5">
        <f>MIN(Y5/150, 1)*30</f>
        <v>0</v>
      </c>
      <c r="AU5">
        <f>MIN(K5/4000, 1)*20</f>
        <v>0</v>
      </c>
      <c r="AV5">
        <f>MIN(W5/400,1)*20</f>
        <v>0</v>
      </c>
      <c r="AW5" s="4">
        <v>1</v>
      </c>
      <c r="AX5">
        <f>((MAX($J5,1)*MIN($AE5/300,1)))*IF(D5="Wagon",50,10)</f>
        <v>0</v>
      </c>
      <c r="AY5">
        <f>VLOOKUP($E5,Constants!$I:$K, 2, FALSE)</f>
        <v>0</v>
      </c>
      <c r="AZ5">
        <f>VLOOKUP($E5,Constants!$I:$K, 3, FALSE)*IF(AND(D5="multiple_unit",Y5&lt;110),0.75,1)</f>
        <v>0</v>
      </c>
      <c r="BA5">
        <f>INT(((Constants!$G$2+$AT5+$AU5+$AV5+$AX5)*$AW5)*$AZ5)+$AS5</f>
        <v>0</v>
      </c>
      <c r="BB5">
        <f>INT(((Constants!$G$1+$AT5+$AU5+$AV5+$AX5)*(1/$AW5))*$AY5)+$AR5</f>
        <v>0</v>
      </c>
      <c r="BL5" t="str">
        <f>VLOOKUP(G5,Eras!$A$2:$C$10, 2, TRUE)</f>
        <v>big4</v>
      </c>
      <c r="BN5" t="str">
        <f>CONCATENATE(BL5,"_",BM5)</f>
        <v>big4_</v>
      </c>
      <c r="BO5" t="str">
        <f t="shared" si="0"/>
        <v/>
      </c>
      <c r="BP5" t="str">
        <f t="shared" si="1"/>
        <v/>
      </c>
      <c r="BR5" t="str">
        <f t="shared" si="2"/>
        <v/>
      </c>
      <c r="BS5" t="str">
        <f t="shared" si="3"/>
        <v>{SILVER}</v>
      </c>
    </row>
    <row r="6" spans="1:71" x14ac:dyDescent="0.25">
      <c r="A6" t="s">
        <v>332</v>
      </c>
      <c r="B6" t="s">
        <v>331</v>
      </c>
      <c r="C6">
        <v>-1</v>
      </c>
      <c r="D6" t="s">
        <v>333</v>
      </c>
      <c r="E6" t="s">
        <v>333</v>
      </c>
      <c r="F6" t="s">
        <v>316</v>
      </c>
      <c r="G6">
        <v>1925</v>
      </c>
      <c r="T6">
        <v>52</v>
      </c>
      <c r="X6" s="4" t="str">
        <f>IF(AND(T6&gt;0,W6&gt;0),(W6/((T6+U6)*10)),"")</f>
        <v/>
      </c>
      <c r="AA6">
        <v>7.64</v>
      </c>
      <c r="AB6">
        <v>8</v>
      </c>
      <c r="AE6" s="11">
        <v>0</v>
      </c>
      <c r="AF6" t="str">
        <f>CONCATENATE(VLOOKUP(AG6, 'Voxel Sizes'!$A$2:$B$18,2,FALSE),"x",INT(AC6*15), "x", INT(AD6*15))</f>
        <v>82x0x0</v>
      </c>
      <c r="AG6">
        <f>ROUND(15*((AB6*10)/256),0)</f>
        <v>5</v>
      </c>
      <c r="AI6" t="str">
        <f>CONCATENATE(VLOOKUP(AG6,Constants!$A$2:$C$16,IF(AH6&lt;&gt;"", 3, 2), FALSE),IF(AH6&lt;&gt;"",CONCATENATE(",",VLOOKUP(AH6,$B:$AI,34,FALSE)),""))</f>
        <v>2,1,2</v>
      </c>
      <c r="AP6">
        <v>40</v>
      </c>
      <c r="AQ6" t="str">
        <f>IF(I6&lt;&gt;"",MAX(8,(I6-G6)-4),"")</f>
        <v/>
      </c>
      <c r="AT6">
        <f>MIN(Y6/150, 1)*30</f>
        <v>0</v>
      </c>
      <c r="AU6">
        <f>MIN(K6/4000, 1)*20</f>
        <v>0</v>
      </c>
      <c r="AV6">
        <f>MIN(W6/400,1)*20</f>
        <v>0</v>
      </c>
      <c r="AW6" s="4">
        <v>1</v>
      </c>
      <c r="AX6">
        <f>((MAX($J6,1)*MIN($AE6/300,1)))*IF(D6="Wagon",50,10)</f>
        <v>0</v>
      </c>
      <c r="AY6">
        <f>VLOOKUP($E6,Constants!$I:$K, 2, FALSE)</f>
        <v>0</v>
      </c>
      <c r="AZ6">
        <f>VLOOKUP($E6,Constants!$I:$K, 3, FALSE)*IF(AND(D6="multiple_unit",Y6&lt;110),0.75,1)</f>
        <v>0</v>
      </c>
      <c r="BA6">
        <f>INT(((Constants!$G$2+$AT6+$AU6+$AV6+$AX6)*$AW6)*$AZ6)+$AS6</f>
        <v>0</v>
      </c>
      <c r="BB6">
        <f>INT(((Constants!$G$1+$AT6+$AU6+$AV6+$AX6)*(1/$AW6))*$AY6)+$AR6</f>
        <v>0</v>
      </c>
      <c r="BL6" t="str">
        <f>VLOOKUP(G6,Eras!$A$2:$C$10, 2, TRUE)</f>
        <v>big4</v>
      </c>
      <c r="BN6" t="str">
        <f>CONCATENATE(BL6,"_",BM6)</f>
        <v>big4_</v>
      </c>
      <c r="BO6" t="str">
        <f t="shared" si="0"/>
        <v/>
      </c>
      <c r="BP6" t="str">
        <f t="shared" si="1"/>
        <v/>
      </c>
      <c r="BR6" t="str">
        <f t="shared" si="2"/>
        <v/>
      </c>
      <c r="BS6" t="str">
        <f t="shared" si="3"/>
        <v>{SILVER}</v>
      </c>
    </row>
    <row r="7" spans="1:71" x14ac:dyDescent="0.25">
      <c r="A7" t="s">
        <v>335</v>
      </c>
      <c r="B7" t="s">
        <v>336</v>
      </c>
      <c r="C7">
        <v>-1</v>
      </c>
      <c r="D7" t="s">
        <v>333</v>
      </c>
      <c r="E7" t="s">
        <v>333</v>
      </c>
      <c r="F7" t="s">
        <v>316</v>
      </c>
      <c r="G7">
        <v>1925</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P7">
        <v>40</v>
      </c>
      <c r="AQ7" t="str">
        <f>IF(I7&lt;&gt;"",MAX(8,(I7-G7)-4),"")</f>
        <v/>
      </c>
      <c r="AT7">
        <f>MIN(Y7/150, 1)*30</f>
        <v>0</v>
      </c>
      <c r="AU7">
        <f>MIN(K7/4000, 1)*20</f>
        <v>0</v>
      </c>
      <c r="AV7">
        <f>MIN(W7/400,1)*20</f>
        <v>0</v>
      </c>
      <c r="AW7" s="4">
        <v>1</v>
      </c>
      <c r="AX7">
        <f>((MAX($J7,1)*MIN($AE7/300,1)))*IF(D7="Wagon",50,10)</f>
        <v>0</v>
      </c>
      <c r="AY7">
        <f>VLOOKUP($E7,Constants!$I:$K, 2, FALSE)</f>
        <v>0</v>
      </c>
      <c r="AZ7">
        <f>VLOOKUP($E7,Constants!$I:$K, 3, FALSE)*IF(AND(D7="multiple_unit",Y7&lt;110),0.75,1)</f>
        <v>0</v>
      </c>
      <c r="BA7">
        <f>INT(((Constants!$G$2+$AT7+$AU7+$AV7+$AX7)*$AW7)*$AZ7)+$AS7</f>
        <v>0</v>
      </c>
      <c r="BB7">
        <f>INT(((Constants!$G$1+$AT7+$AU7+$AV7+$AX7)*(1/$AW7))*$AY7)+$AR7</f>
        <v>0</v>
      </c>
      <c r="BL7" t="str">
        <f>VLOOKUP(G7,Eras!$A$2:$C$10, 2, TRUE)</f>
        <v>big4</v>
      </c>
      <c r="BN7" t="str">
        <f>CONCATENATE(BL7,"_",BM7)</f>
        <v>big4_</v>
      </c>
      <c r="BO7" t="str">
        <f t="shared" si="0"/>
        <v/>
      </c>
      <c r="BP7" t="str">
        <f t="shared" si="1"/>
        <v/>
      </c>
      <c r="BR7" t="str">
        <f t="shared" si="2"/>
        <v/>
      </c>
      <c r="BS7" t="str">
        <f t="shared" si="3"/>
        <v>{SILVER}</v>
      </c>
    </row>
    <row r="8" spans="1:71" x14ac:dyDescent="0.25">
      <c r="A8" t="s">
        <v>486</v>
      </c>
      <c r="B8" t="s">
        <v>487</v>
      </c>
      <c r="C8">
        <v>-1</v>
      </c>
      <c r="D8" t="s">
        <v>333</v>
      </c>
      <c r="E8" t="s">
        <v>333</v>
      </c>
      <c r="F8" t="s">
        <v>316</v>
      </c>
      <c r="G8">
        <v>1927</v>
      </c>
      <c r="T8">
        <v>53</v>
      </c>
      <c r="X8" s="4" t="str">
        <f>IF(AND(T8&gt;0,W8&gt;0),(W8/((T8+U8)*10)),"")</f>
        <v/>
      </c>
      <c r="AA8">
        <v>7.5</v>
      </c>
      <c r="AB8">
        <v>8</v>
      </c>
      <c r="AE8" s="11">
        <v>0</v>
      </c>
      <c r="AF8" t="str">
        <f>CONCATENATE(VLOOKUP(AG8, 'Voxel Sizes'!$A$2:$B$18,2,FALSE),"x",INT(AC8*15), "x", INT(AD8*15))</f>
        <v>82x0x0</v>
      </c>
      <c r="AG8">
        <f>ROUND(15*((AB8*10)/256),0)</f>
        <v>5</v>
      </c>
      <c r="AI8" t="str">
        <f>CONCATENATE(VLOOKUP(AG8,Constants!$A$2:$C$16,IF(AH8&lt;&gt;"", 3, 2), FALSE),IF(AH8&lt;&gt;"",CONCATENATE(",",VLOOKUP(AH8,$B:$AI,34,FALSE)),""))</f>
        <v>2,1,2</v>
      </c>
      <c r="AP8">
        <v>40</v>
      </c>
      <c r="AQ8" t="str">
        <f>IF(I8&lt;&gt;"",MAX(8,(I8-G8)-4),"")</f>
        <v/>
      </c>
      <c r="AT8">
        <f>MIN(Y8/150, 1)*30</f>
        <v>0</v>
      </c>
      <c r="AU8">
        <f>MIN(K8/4000, 1)*20</f>
        <v>0</v>
      </c>
      <c r="AV8">
        <f>MIN(W8/400,1)*20</f>
        <v>0</v>
      </c>
      <c r="AW8" s="4">
        <v>1</v>
      </c>
      <c r="AX8">
        <f>((MAX($J8,1)*MIN($AE8/300,1)))*IF(D8="Wagon",50,10)</f>
        <v>0</v>
      </c>
      <c r="AY8">
        <f>VLOOKUP($E8,Constants!$I:$K, 2, FALSE)</f>
        <v>0</v>
      </c>
      <c r="AZ8">
        <f>VLOOKUP($E8,Constants!$I:$K, 3, FALSE)*IF(AND(D8="multiple_unit",Y8&lt;110),0.75,1)</f>
        <v>0</v>
      </c>
      <c r="BA8">
        <f>INT(((Constants!$G$2+$AT8+$AU8+$AV8+$AX8)*$AW8)*$AZ8)+$AS8</f>
        <v>0</v>
      </c>
      <c r="BB8">
        <f>INT(((Constants!$G$1+$AT8+$AU8+$AV8+$AX8)*(1/$AW8))*$AY8)+$AR8</f>
        <v>0</v>
      </c>
      <c r="BL8" t="str">
        <f>VLOOKUP(G8,Eras!$A$2:$C$10, 2, TRUE)</f>
        <v>big4</v>
      </c>
      <c r="BN8" t="str">
        <f>CONCATENATE(BL8,"_",BM8)</f>
        <v>big4_</v>
      </c>
      <c r="BO8" t="str">
        <f t="shared" si="0"/>
        <v/>
      </c>
      <c r="BP8" t="str">
        <f t="shared" si="1"/>
        <v/>
      </c>
      <c r="BR8" t="str">
        <f t="shared" si="2"/>
        <v/>
      </c>
      <c r="BS8" t="str">
        <f t="shared" si="3"/>
        <v>{SILVER}</v>
      </c>
    </row>
    <row r="9" spans="1:71" x14ac:dyDescent="0.25">
      <c r="A9" t="s">
        <v>513</v>
      </c>
      <c r="B9" t="s">
        <v>512</v>
      </c>
      <c r="C9">
        <v>-1</v>
      </c>
      <c r="D9" t="s">
        <v>333</v>
      </c>
      <c r="E9" t="s">
        <v>333</v>
      </c>
      <c r="F9" t="s">
        <v>316</v>
      </c>
      <c r="G9">
        <v>1935</v>
      </c>
      <c r="T9">
        <v>42</v>
      </c>
      <c r="X9" s="4" t="str">
        <f>IF(AND(T9&gt;0,W9&gt;0),(W9/((T9+U9)*10)),"")</f>
        <v/>
      </c>
      <c r="AA9">
        <v>7.5</v>
      </c>
      <c r="AB9">
        <v>8</v>
      </c>
      <c r="AE9" s="11">
        <v>0</v>
      </c>
      <c r="AF9" t="str">
        <f>CONCATENATE(VLOOKUP(AG9, 'Voxel Sizes'!$A$2:$B$18,2,FALSE),"x",INT(AC9*15), "x", INT(AD9*15))</f>
        <v>82x0x0</v>
      </c>
      <c r="AG9">
        <f>ROUND(15*((AB9*10)/256),0)</f>
        <v>5</v>
      </c>
      <c r="AI9" t="str">
        <f>CONCATENATE(VLOOKUP(AG9,Constants!$A$2:$C$16,IF(AH9&lt;&gt;"", 3, 2), FALSE),IF(AH9&lt;&gt;"",CONCATENATE(",",VLOOKUP(AH9,$B:$AI,34,FALSE)),""))</f>
        <v>2,1,2</v>
      </c>
      <c r="AP9">
        <v>40</v>
      </c>
      <c r="AQ9" t="str">
        <f>IF(I9&lt;&gt;"",MAX(8,(I9-G9)-4),"")</f>
        <v/>
      </c>
      <c r="AT9">
        <f>MIN(Y9/150, 1)*30</f>
        <v>0</v>
      </c>
      <c r="AU9">
        <f>MIN(K9/4000, 1)*20</f>
        <v>0</v>
      </c>
      <c r="AV9">
        <f>MIN(W9/400,1)*20</f>
        <v>0</v>
      </c>
      <c r="AW9" s="4">
        <v>1</v>
      </c>
      <c r="AX9">
        <f>((MAX($J9,1)*MIN($AE9/300,1)))*IF(D9="Wagon",50,10)</f>
        <v>0</v>
      </c>
      <c r="AY9">
        <f>VLOOKUP($E9,Constants!$I:$K, 2, FALSE)</f>
        <v>0</v>
      </c>
      <c r="AZ9">
        <f>VLOOKUP($E9,Constants!$I:$K, 3, FALSE)*IF(AND(D9="multiple_unit",Y9&lt;110),0.75,1)</f>
        <v>0</v>
      </c>
      <c r="BA9">
        <f>INT(((Constants!$G$2+$AT9+$AU9+$AV9+$AX9)*$AW9)*$AZ9)+$AS9</f>
        <v>0</v>
      </c>
      <c r="BB9">
        <f>INT(((Constants!$G$1+$AT9+$AU9+$AV9+$AX9)*(1/$AW9))*$AY9)+$AR9</f>
        <v>0</v>
      </c>
      <c r="BL9" t="str">
        <f>VLOOKUP(G9,Eras!$A$2:$C$10, 2, TRUE)</f>
        <v>big4</v>
      </c>
      <c r="BN9" t="str">
        <f>CONCATENATE(BL9,"_",BM9)</f>
        <v>big4_</v>
      </c>
      <c r="BO9" t="str">
        <f t="shared" si="0"/>
        <v/>
      </c>
      <c r="BP9" t="str">
        <f t="shared" si="1"/>
        <v/>
      </c>
      <c r="BR9" t="str">
        <f t="shared" si="2"/>
        <v/>
      </c>
      <c r="BS9" t="str">
        <f t="shared" si="3"/>
        <v>{SILVER}</v>
      </c>
    </row>
    <row r="10" spans="1:71" ht="13.5" customHeight="1" x14ac:dyDescent="0.25">
      <c r="A10" t="s">
        <v>520</v>
      </c>
      <c r="B10" t="s">
        <v>521</v>
      </c>
      <c r="C10">
        <v>-1</v>
      </c>
      <c r="D10" t="s">
        <v>333</v>
      </c>
      <c r="E10" t="s">
        <v>333</v>
      </c>
      <c r="F10" t="s">
        <v>316</v>
      </c>
      <c r="G10">
        <v>1941</v>
      </c>
      <c r="T10">
        <v>52</v>
      </c>
      <c r="X10" s="4" t="str">
        <f>IF(AND(T10&gt;0,W10&gt;0),(W10/((T10+U10)*10)),"")</f>
        <v/>
      </c>
      <c r="AA10">
        <v>7.64</v>
      </c>
      <c r="AB10">
        <v>8</v>
      </c>
      <c r="AE10" s="11">
        <v>0</v>
      </c>
      <c r="AF10" t="str">
        <f>CONCATENATE(VLOOKUP(AG10, 'Voxel Sizes'!$A$2:$B$18,2,FALSE),"x",INT(AC10*15), "x", INT(AD10*15))</f>
        <v>82x0x0</v>
      </c>
      <c r="AG10">
        <f>ROUND(15*((AB10*10)/256),0)</f>
        <v>5</v>
      </c>
      <c r="AI10" t="str">
        <f>CONCATENATE(VLOOKUP(AG10,Constants!$A$2:$C$16,IF(AH10&lt;&gt;"", 3, 2), FALSE),IF(AH10&lt;&gt;"",CONCATENATE(",",VLOOKUP(AH10,$B:$AI,34,FALSE)),""))</f>
        <v>2,1,2</v>
      </c>
      <c r="AP10">
        <v>40</v>
      </c>
      <c r="AQ10" t="str">
        <f>IF(I10&lt;&gt;"",MAX(8,(I10-G10)-4),"")</f>
        <v/>
      </c>
      <c r="AT10">
        <f>MIN(Y10/150, 1)*30</f>
        <v>0</v>
      </c>
      <c r="AU10">
        <f>MIN(K10/4000, 1)*20</f>
        <v>0</v>
      </c>
      <c r="AV10">
        <f>MIN(W10/400,1)*20</f>
        <v>0</v>
      </c>
      <c r="AW10" s="4">
        <v>1</v>
      </c>
      <c r="AX10">
        <f>((MAX($J10,1)*MIN($AE10/300,1)))*IF(D10="Wagon",50,10)</f>
        <v>0</v>
      </c>
      <c r="AY10">
        <f>VLOOKUP($E10,Constants!$I:$K, 2, FALSE)</f>
        <v>0</v>
      </c>
      <c r="AZ10">
        <f>VLOOKUP($E10,Constants!$I:$K, 3, FALSE)*IF(AND(D10="multiple_unit",Y10&lt;110),0.75,1)</f>
        <v>0</v>
      </c>
      <c r="BA10">
        <f>INT(((Constants!$G$2+$AT10+$AU10+$AV10+$AX10)*$AW10)*$AZ10)+$AS10</f>
        <v>0</v>
      </c>
      <c r="BB10">
        <f>INT(((Constants!$G$1+$AT10+$AU10+$AV10+$AX10)*(1/$AW10))*$AY10)+$AR10</f>
        <v>0</v>
      </c>
      <c r="BL10" t="str">
        <f>VLOOKUP(G10,Eras!$A$2:$C$10, 2, TRUE)</f>
        <v>big4</v>
      </c>
      <c r="BN10" t="str">
        <f>CONCATENATE(BL10,"_",BM10)</f>
        <v>big4_</v>
      </c>
      <c r="BO10" t="str">
        <f t="shared" si="0"/>
        <v/>
      </c>
      <c r="BP10" t="str">
        <f t="shared" si="1"/>
        <v/>
      </c>
      <c r="BR10" t="str">
        <f t="shared" si="2"/>
        <v/>
      </c>
      <c r="BS10" t="str">
        <f t="shared" si="3"/>
        <v>{SILVER}</v>
      </c>
    </row>
    <row r="11" spans="1:71" x14ac:dyDescent="0.25">
      <c r="A11" t="s">
        <v>528</v>
      </c>
      <c r="B11" t="s">
        <v>527</v>
      </c>
      <c r="C11">
        <v>-1</v>
      </c>
      <c r="D11" t="s">
        <v>333</v>
      </c>
      <c r="E11" t="s">
        <v>333</v>
      </c>
      <c r="F11" t="s">
        <v>316</v>
      </c>
      <c r="G11">
        <v>1942</v>
      </c>
      <c r="T11">
        <v>52</v>
      </c>
      <c r="X11" s="4" t="str">
        <f>IF(AND(T11&gt;0,W11&gt;0),(W11/((T11+U11)*10)),"")</f>
        <v/>
      </c>
      <c r="AA11">
        <v>6</v>
      </c>
      <c r="AB11">
        <v>6</v>
      </c>
      <c r="AE11" s="11">
        <v>0</v>
      </c>
      <c r="AF11" t="str">
        <f>CONCATENATE(VLOOKUP(AG11, 'Voxel Sizes'!$A$2:$B$18,2,FALSE),"x",INT(AC11*15), "x", INT(AD11*15))</f>
        <v>60x0x0</v>
      </c>
      <c r="AG11">
        <f>ROUND(15*((AB11*10)/256),0)</f>
        <v>4</v>
      </c>
      <c r="AI11" t="str">
        <f>CONCATENATE(VLOOKUP(AG11,Constants!$A$2:$C$16,IF(AH11&lt;&gt;"", 3, 2), FALSE),IF(AH11&lt;&gt;"",CONCATENATE(",",VLOOKUP(AH11,$B:$AI,34,FALSE)),""))</f>
        <v>1,2,1</v>
      </c>
      <c r="AP11">
        <v>40</v>
      </c>
      <c r="AQ11" t="str">
        <f>IF(I11&lt;&gt;"",MAX(8,(I11-G11)-4),"")</f>
        <v/>
      </c>
      <c r="AT11">
        <f>MIN(Y11/150, 1)*30</f>
        <v>0</v>
      </c>
      <c r="AU11">
        <f>MIN(K11/4000, 1)*20</f>
        <v>0</v>
      </c>
      <c r="AV11">
        <f>MIN(W11/400,1)*20</f>
        <v>0</v>
      </c>
      <c r="AW11" s="4">
        <v>1</v>
      </c>
      <c r="AX11">
        <f>((MAX($J11,1)*MIN($AE11/300,1)))*IF(D11="Wagon",50,10)</f>
        <v>0</v>
      </c>
      <c r="AY11">
        <f>VLOOKUP($E11,Constants!$I:$K, 2, FALSE)</f>
        <v>0</v>
      </c>
      <c r="AZ11">
        <f>VLOOKUP($E11,Constants!$I:$K, 3, FALSE)*IF(AND(D11="multiple_unit",Y11&lt;110),0.75,1)</f>
        <v>0</v>
      </c>
      <c r="BA11">
        <f>INT(((Constants!$G$2+$AT11+$AU11+$AV11+$AX11)*$AW11)*$AZ11)+$AS11</f>
        <v>0</v>
      </c>
      <c r="BB11">
        <f>INT(((Constants!$G$1+$AT11+$AU11+$AV11+$AX11)*(1/$AW11))*$AY11)+$AR11</f>
        <v>0</v>
      </c>
      <c r="BL11" t="str">
        <f>VLOOKUP(G11,Eras!$A$2:$C$10, 2, TRUE)</f>
        <v>big4</v>
      </c>
      <c r="BN11" t="str">
        <f>CONCATENATE(BL11,"_",BM11)</f>
        <v>big4_</v>
      </c>
      <c r="BO11" t="str">
        <f t="shared" si="0"/>
        <v/>
      </c>
      <c r="BP11" t="str">
        <f t="shared" si="1"/>
        <v/>
      </c>
      <c r="BR11" t="str">
        <f t="shared" si="2"/>
        <v/>
      </c>
      <c r="BS11" t="str">
        <f t="shared" si="3"/>
        <v>{SILVER}</v>
      </c>
    </row>
    <row r="12" spans="1:71" x14ac:dyDescent="0.25">
      <c r="A12" t="s">
        <v>533</v>
      </c>
      <c r="B12" t="s">
        <v>534</v>
      </c>
      <c r="C12">
        <v>-1</v>
      </c>
      <c r="D12" t="s">
        <v>333</v>
      </c>
      <c r="E12" t="s">
        <v>333</v>
      </c>
      <c r="F12" t="s">
        <v>316</v>
      </c>
      <c r="G12">
        <v>1943</v>
      </c>
      <c r="T12">
        <v>52</v>
      </c>
      <c r="X12" s="4" t="str">
        <f>IF(AND(T12&gt;0,W12&gt;0),(W12/((T12+U12)*10)),"")</f>
        <v/>
      </c>
      <c r="AA12">
        <v>6</v>
      </c>
      <c r="AB12">
        <v>6</v>
      </c>
      <c r="AE12" s="11">
        <v>0</v>
      </c>
      <c r="AF12" t="str">
        <f>CONCATENATE(VLOOKUP(AG12, 'Voxel Sizes'!$A$2:$B$18,2,FALSE),"x",INT(AC12*15), "x", INT(AD12*15))</f>
        <v>60x0x0</v>
      </c>
      <c r="AG12">
        <f>ROUND(15*((AB12*10)/256),0)</f>
        <v>4</v>
      </c>
      <c r="AI12" t="str">
        <f>CONCATENATE(VLOOKUP(AG12,Constants!$A$2:$C$16,IF(AH12&lt;&gt;"", 3, 2), FALSE),IF(AH12&lt;&gt;"",CONCATENATE(",",VLOOKUP(AH12,$B:$AI,34,FALSE)),""))</f>
        <v>1,2,1</v>
      </c>
      <c r="AP12">
        <v>40</v>
      </c>
      <c r="AQ12" t="str">
        <f>IF(I12&lt;&gt;"",MAX(8,(I12-G12)-4),"")</f>
        <v/>
      </c>
      <c r="AT12">
        <f>MIN(Y12/150, 1)*30</f>
        <v>0</v>
      </c>
      <c r="AU12">
        <f>MIN(K12/4000, 1)*20</f>
        <v>0</v>
      </c>
      <c r="AV12">
        <f>MIN(W12/400,1)*20</f>
        <v>0</v>
      </c>
      <c r="AW12" s="4">
        <v>1</v>
      </c>
      <c r="AX12">
        <f>((MAX($J12,1)*MIN($AE12/300,1)))*IF(D12="Wagon",50,10)</f>
        <v>0</v>
      </c>
      <c r="AY12">
        <f>VLOOKUP($E12,Constants!$I:$K, 2, FALSE)</f>
        <v>0</v>
      </c>
      <c r="AZ12">
        <f>VLOOKUP($E12,Constants!$I:$K, 3, FALSE)*IF(AND(D12="multiple_unit",Y12&lt;110),0.75,1)</f>
        <v>0</v>
      </c>
      <c r="BA12">
        <f>INT(((Constants!$G$2+$AT12+$AU12+$AV12+$AX12)*$AW12)*$AZ12)+$AS12</f>
        <v>0</v>
      </c>
      <c r="BB12">
        <f>INT(((Constants!$G$1+$AT12+$AU12+$AV12+$AX12)*(1/$AW12))*$AY12)+$AR12</f>
        <v>0</v>
      </c>
      <c r="BL12" t="str">
        <f>VLOOKUP(G12,Eras!$A$2:$C$10, 2, TRUE)</f>
        <v>big4</v>
      </c>
      <c r="BN12" t="str">
        <f>CONCATENATE(BL12,"_",BM12)</f>
        <v>big4_</v>
      </c>
      <c r="BO12" t="str">
        <f t="shared" si="0"/>
        <v/>
      </c>
      <c r="BP12" t="str">
        <f t="shared" si="1"/>
        <v/>
      </c>
      <c r="BR12" t="str">
        <f t="shared" si="2"/>
        <v/>
      </c>
      <c r="BS12" t="str">
        <f t="shared" si="3"/>
        <v>{SILVER}</v>
      </c>
    </row>
    <row r="13" spans="1:71" x14ac:dyDescent="0.25">
      <c r="A13" t="s">
        <v>548</v>
      </c>
      <c r="B13" t="s">
        <v>547</v>
      </c>
      <c r="C13">
        <v>-1</v>
      </c>
      <c r="D13" t="s">
        <v>333</v>
      </c>
      <c r="E13" t="s">
        <v>333</v>
      </c>
      <c r="F13" t="s">
        <v>316</v>
      </c>
      <c r="G13">
        <v>1946</v>
      </c>
      <c r="T13">
        <v>52</v>
      </c>
      <c r="X13" s="4" t="str">
        <f>IF(AND(T13&gt;0,W13&gt;0),(W13/((T13+U13)*10)),"")</f>
        <v/>
      </c>
      <c r="AA13">
        <v>6</v>
      </c>
      <c r="AB13">
        <v>6</v>
      </c>
      <c r="AE13" s="11">
        <v>0</v>
      </c>
      <c r="AF13" t="str">
        <f>CONCATENATE(VLOOKUP(AG13, 'Voxel Sizes'!$A$2:$B$18,2,FALSE),"x",INT(AC13*15), "x", INT(AD13*15))</f>
        <v>60x0x0</v>
      </c>
      <c r="AG13">
        <f>ROUND(15*((AB13*10)/256),0)</f>
        <v>4</v>
      </c>
      <c r="AI13" t="str">
        <f>CONCATENATE(VLOOKUP(AG13,Constants!$A$2:$C$16,IF(AH13&lt;&gt;"", 3, 2), FALSE),IF(AH13&lt;&gt;"",CONCATENATE(",",VLOOKUP(AH13,$B:$AI,34,FALSE)),""))</f>
        <v>1,2,1</v>
      </c>
      <c r="AP13">
        <v>40</v>
      </c>
      <c r="AQ13" t="str">
        <f>IF(I13&lt;&gt;"",MAX(8,(I13-G13)-4),"")</f>
        <v/>
      </c>
      <c r="AT13">
        <f>MIN(Y13/150, 1)*30</f>
        <v>0</v>
      </c>
      <c r="AU13">
        <f>MIN(K13/4000, 1)*20</f>
        <v>0</v>
      </c>
      <c r="AV13">
        <f>MIN(W13/400,1)*20</f>
        <v>0</v>
      </c>
      <c r="AW13" s="4">
        <v>1</v>
      </c>
      <c r="AX13">
        <f>((MAX($J13,1)*MIN($AE13/300,1)))*IF(D13="Wagon",50,10)</f>
        <v>0</v>
      </c>
      <c r="AY13">
        <f>VLOOKUP($E13,Constants!$I:$K, 2, FALSE)</f>
        <v>0</v>
      </c>
      <c r="AZ13">
        <f>VLOOKUP($E13,Constants!$I:$K, 3, FALSE)*IF(AND(D13="multiple_unit",Y13&lt;110),0.75,1)</f>
        <v>0</v>
      </c>
      <c r="BA13">
        <f>INT(((Constants!$G$2+$AT13+$AU13+$AV13+$AX13)*$AW13)*$AZ13)+$AS13</f>
        <v>0</v>
      </c>
      <c r="BB13">
        <f>INT(((Constants!$G$1+$AT13+$AU13+$AV13+$AX13)*(1/$AW13))*$AY13)+$AR13</f>
        <v>0</v>
      </c>
      <c r="BL13" t="str">
        <f>VLOOKUP(G13,Eras!$A$2:$C$10, 2, TRUE)</f>
        <v>big4</v>
      </c>
      <c r="BN13" t="str">
        <f>CONCATENATE(BL13,"_",BM13)</f>
        <v>big4_</v>
      </c>
      <c r="BO13" t="str">
        <f t="shared" si="0"/>
        <v/>
      </c>
      <c r="BP13" t="str">
        <f t="shared" si="1"/>
        <v/>
      </c>
      <c r="BR13" t="str">
        <f t="shared" si="2"/>
        <v/>
      </c>
      <c r="BS13" t="str">
        <f t="shared" si="3"/>
        <v>{SILVER}</v>
      </c>
    </row>
    <row r="14" spans="1:71" x14ac:dyDescent="0.25">
      <c r="A14" t="s">
        <v>691</v>
      </c>
      <c r="B14" t="s">
        <v>692</v>
      </c>
      <c r="C14">
        <v>-1</v>
      </c>
      <c r="D14" t="s">
        <v>333</v>
      </c>
      <c r="E14" t="s">
        <v>333</v>
      </c>
      <c r="F14" t="s">
        <v>316</v>
      </c>
      <c r="G14">
        <v>1958</v>
      </c>
      <c r="T14">
        <v>52</v>
      </c>
      <c r="X14" s="4" t="str">
        <f>IF(AND(T14&gt;0,W14&gt;0),(W14/((T14+U14)*10)),"")</f>
        <v/>
      </c>
      <c r="AA14">
        <v>6</v>
      </c>
      <c r="AB14">
        <v>8</v>
      </c>
      <c r="AE14" s="11">
        <v>0</v>
      </c>
      <c r="AF14" t="str">
        <f>CONCATENATE(VLOOKUP(AG14, 'Voxel Sizes'!$A$2:$B$18,2,FALSE),"x",INT(AC14*15), "x", INT(AD14*15))</f>
        <v>82x0x0</v>
      </c>
      <c r="AG14">
        <f>ROUND(15*((AB14*10)/256),0)</f>
        <v>5</v>
      </c>
      <c r="AI14" t="str">
        <f>CONCATENATE(VLOOKUP(AG14,Constants!$A$2:$C$16,IF(AH14&lt;&gt;"", 3, 2), FALSE),IF(AH14&lt;&gt;"",CONCATENATE(",",VLOOKUP(AH14,$B:$AI,34,FALSE)),""))</f>
        <v>2,1,2</v>
      </c>
      <c r="AP14">
        <v>40</v>
      </c>
      <c r="AQ14" t="str">
        <f>IF(I14&lt;&gt;"",MAX(8,(I14-G14)-4),"")</f>
        <v/>
      </c>
      <c r="AT14">
        <f>MIN(Y14/150, 1)*30</f>
        <v>0</v>
      </c>
      <c r="AU14">
        <f>MIN(K14/4000, 1)*20</f>
        <v>0</v>
      </c>
      <c r="AV14">
        <f>MIN(W14/400,1)*20</f>
        <v>0</v>
      </c>
      <c r="AW14" s="4">
        <v>1</v>
      </c>
      <c r="AX14">
        <f>((MAX($J14,1)*MIN($AE14/300,1)))*IF(D14="Wagon",50,10)</f>
        <v>0</v>
      </c>
      <c r="AY14">
        <f>VLOOKUP($E14,Constants!$I:$K, 2, FALSE)</f>
        <v>0</v>
      </c>
      <c r="AZ14">
        <f>VLOOKUP($E14,Constants!$I:$K, 3, FALSE)*IF(AND(D14="multiple_unit",Y14&lt;110),0.75,1)</f>
        <v>0</v>
      </c>
      <c r="BA14">
        <f>INT(((Constants!$G$2+$AT14+$AU14+$AV14+$AX14)*$AW14)*$AZ14)+$AS14</f>
        <v>0</v>
      </c>
      <c r="BB14">
        <f>INT(((Constants!$G$1+$AT14+$AU14+$AV14+$AX14)*(1/$AW14))*$AY14)+$AR14</f>
        <v>0</v>
      </c>
      <c r="BL14" t="str">
        <f>VLOOKUP(G14,Eras!$A$2:$C$10, 2, TRUE)</f>
        <v>dsl</v>
      </c>
      <c r="BN14" t="str">
        <f>CONCATENATE(BL14,"_",BM14)</f>
        <v>dsl_</v>
      </c>
      <c r="BO14" t="str">
        <f t="shared" si="0"/>
        <v/>
      </c>
      <c r="BP14" t="str">
        <f t="shared" si="1"/>
        <v/>
      </c>
      <c r="BR14" t="str">
        <f t="shared" si="2"/>
        <v/>
      </c>
      <c r="BS14" t="str">
        <f t="shared" si="3"/>
        <v>{SILVER}</v>
      </c>
    </row>
    <row r="15" spans="1:71" x14ac:dyDescent="0.25">
      <c r="A15" t="s">
        <v>128</v>
      </c>
      <c r="B15" t="s">
        <v>237</v>
      </c>
      <c r="C15">
        <v>10</v>
      </c>
      <c r="D15" t="s">
        <v>323</v>
      </c>
      <c r="E15" t="s">
        <v>1175</v>
      </c>
      <c r="F15" t="s">
        <v>316</v>
      </c>
      <c r="G15">
        <v>1892</v>
      </c>
      <c r="I15">
        <v>1935</v>
      </c>
      <c r="T15">
        <v>28</v>
      </c>
      <c r="V15">
        <v>6</v>
      </c>
      <c r="X15" s="4" t="str">
        <f>IF(AND(T15&gt;0,W15&gt;0),(W15/((T15+U15)*10)),"")</f>
        <v/>
      </c>
      <c r="Y15">
        <v>80</v>
      </c>
      <c r="AA15">
        <v>16.2</v>
      </c>
      <c r="AB15">
        <v>16.2</v>
      </c>
      <c r="AC15">
        <v>2.8</v>
      </c>
      <c r="AE15" s="11">
        <v>42</v>
      </c>
      <c r="AF15" t="str">
        <f>CONCATENATE(VLOOKUP(AG15, 'Voxel Sizes'!$A$2:$B$18,2,FALSE),"x",INT(AC15*15), "x", INT(AD15*15))</f>
        <v>152x42x0</v>
      </c>
      <c r="AG15">
        <f>ROUND(15*((AB15*10)/256),0)</f>
        <v>9</v>
      </c>
      <c r="AI15" t="str">
        <f>CONCATENATE(VLOOKUP(AG15,Constants!$A$2:$C$16,IF(AH15&lt;&gt;"", 3, 2), FALSE),IF(AH15&lt;&gt;"",CONCATENATE(",",VLOOKUP(AH15,$B:$AI,34,FALSE)),""))</f>
        <v>2,5,2</v>
      </c>
      <c r="AP15">
        <v>40</v>
      </c>
      <c r="AQ15">
        <f>IF(I15&lt;&gt;"",MAX(8,(I15-G15)-4),"")</f>
        <v>39</v>
      </c>
      <c r="AT15">
        <f>MIN(Y15/150, 1)*30</f>
        <v>16</v>
      </c>
      <c r="AU15">
        <f>MIN(K15/4000, 1)*20</f>
        <v>0</v>
      </c>
      <c r="AV15">
        <f>MIN(W15/400,1)*20</f>
        <v>0</v>
      </c>
      <c r="AW15" s="4">
        <v>1</v>
      </c>
      <c r="AX15">
        <f>((MAX($J15,1)*MIN($AE15/300,1)))*IF(D15="Wagon",50,10)</f>
        <v>7.0000000000000009</v>
      </c>
      <c r="AY15">
        <f>VLOOKUP($E15,Constants!$I:$K, 2, FALSE)</f>
        <v>1.2</v>
      </c>
      <c r="AZ15">
        <f>VLOOKUP($E15,Constants!$I:$K, 3, FALSE)*IF(AND(D15="multiple_unit",Y15&lt;110),0.75,1)</f>
        <v>0.6</v>
      </c>
      <c r="BA15">
        <f>INT(POWER(((Constants!$G$2+$AT15+$AU15+$AV15+$AX15)*$AW15)*$AZ15, 1.05))+$AS15</f>
        <v>19</v>
      </c>
      <c r="BB15">
        <f>INT(((Constants!$G$1+$AT15+$AU15+$AV15+$AX15)*(1/$AW15))*$AY15)+$AR15</f>
        <v>69</v>
      </c>
      <c r="BD15">
        <f>Y15</f>
        <v>80</v>
      </c>
      <c r="BJ15" t="s">
        <v>943</v>
      </c>
      <c r="BK15" t="s">
        <v>325</v>
      </c>
      <c r="BL15" t="str">
        <f>VLOOKUP(G15,Eras!$A$2:$C$10, 2, TRUE)</f>
        <v>vct</v>
      </c>
      <c r="BM15" t="s">
        <v>377</v>
      </c>
      <c r="BN15" t="str">
        <f>CONCATENATE(BL15,"_",BM15)</f>
        <v>vct_Carriage</v>
      </c>
      <c r="BO15" t="str">
        <f t="shared" si="0"/>
        <v/>
      </c>
      <c r="BP15" t="str">
        <f t="shared" si="1"/>
        <v/>
      </c>
      <c r="BQ15" t="s">
        <v>777</v>
      </c>
      <c r="BR15" t="str">
        <f t="shared" si="2"/>
        <v/>
      </c>
      <c r="BS15" t="str">
        <f t="shared" si="3"/>
        <v>{SILVER}Toward the end of the Victorian era, passenger carriages began to be mounted on bogies rather than fixed axles. Many featured clerestory-style roofs.</v>
      </c>
    </row>
    <row r="16" spans="1:71" x14ac:dyDescent="0.25">
      <c r="A16" t="s">
        <v>446</v>
      </c>
      <c r="B16" t="s">
        <v>447</v>
      </c>
      <c r="C16">
        <v>12</v>
      </c>
      <c r="D16" t="s">
        <v>323</v>
      </c>
      <c r="E16" t="s">
        <v>1175</v>
      </c>
      <c r="F16" t="s">
        <v>316</v>
      </c>
      <c r="G16">
        <v>1904</v>
      </c>
      <c r="I16">
        <v>1955</v>
      </c>
      <c r="T16">
        <v>34</v>
      </c>
      <c r="V16">
        <v>8</v>
      </c>
      <c r="X16" s="4" t="str">
        <f>IF(AND(T16&gt;0,W16&gt;0),(W16/((T16+U16)*10)),"")</f>
        <v/>
      </c>
      <c r="Y16">
        <v>85</v>
      </c>
      <c r="AA16">
        <v>17.7</v>
      </c>
      <c r="AB16">
        <v>17.7</v>
      </c>
      <c r="AC16">
        <v>2.83</v>
      </c>
      <c r="AD16">
        <v>3.79</v>
      </c>
      <c r="AE16" s="11">
        <v>48</v>
      </c>
      <c r="AF16" t="str">
        <f>CONCATENATE(VLOOKUP(AG16, 'Voxel Sizes'!$A$2:$B$18,2,FALSE),"x",INT(AC16*15), "x", INT(AD16*15))</f>
        <v>164x42x56</v>
      </c>
      <c r="AG16">
        <f>ROUND(15*((AB16*10)/256),0)</f>
        <v>10</v>
      </c>
      <c r="AI16" t="str">
        <f>CONCATENATE(VLOOKUP(AG16,Constants!$A$2:$C$16,IF(AH16&lt;&gt;"", 3, 2), FALSE),IF(AH16&lt;&gt;"",CONCATENATE(",",VLOOKUP(AH16,$B:$AI,34,FALSE)),""))</f>
        <v>4,2,4</v>
      </c>
      <c r="AP16">
        <v>40</v>
      </c>
      <c r="AQ16">
        <f>IF(I16&lt;&gt;"",MAX(8,(I16-G16)-4),"")</f>
        <v>47</v>
      </c>
      <c r="AT16">
        <f>MIN(Y16/150, 1)*30</f>
        <v>17</v>
      </c>
      <c r="AU16">
        <f>MIN(K16/4000, 1)*20</f>
        <v>0</v>
      </c>
      <c r="AV16">
        <f>MIN(W16/400,1)*20</f>
        <v>0</v>
      </c>
      <c r="AW16" s="4">
        <v>1</v>
      </c>
      <c r="AX16">
        <f>((MAX($J16,1)*MIN($AE16/300,1)))*IF(D16="Wagon",50,10)</f>
        <v>8</v>
      </c>
      <c r="AY16">
        <f>VLOOKUP($E16,Constants!$I:$K, 2, FALSE)</f>
        <v>1.2</v>
      </c>
      <c r="AZ16">
        <f>VLOOKUP($E16,Constants!$I:$K, 3, FALSE)*IF(AND(D16="multiple_unit",Y16&lt;110),0.75,1)</f>
        <v>0.6</v>
      </c>
      <c r="BA16">
        <f>INT(POWER(((Constants!$G$2+$AT16+$AU16+$AV16+$AX16)*$AW16)*$AZ16, 1.05))+$AS16</f>
        <v>20</v>
      </c>
      <c r="BB16">
        <f>INT(((Constants!$G$1+$AT16+$AU16+$AV16+$AX16)*(1/$AW16))*$AY16)+$AR16</f>
        <v>72</v>
      </c>
      <c r="BD16">
        <f>Y16</f>
        <v>85</v>
      </c>
      <c r="BJ16" t="s">
        <v>943</v>
      </c>
      <c r="BK16" t="s">
        <v>325</v>
      </c>
      <c r="BL16" t="str">
        <f>VLOOKUP(G16,Eras!$A$2:$C$10, 2, TRUE)</f>
        <v>edw</v>
      </c>
      <c r="BM16" t="s">
        <v>377</v>
      </c>
      <c r="BN16" t="str">
        <f>CONCATENATE(BL16,"_",BM16)</f>
        <v>edw_Carriage</v>
      </c>
      <c r="BO16" t="str">
        <f t="shared" si="0"/>
        <v/>
      </c>
      <c r="BP16" t="str">
        <f t="shared" si="1"/>
        <v/>
      </c>
      <c r="BQ16" t="s">
        <v>448</v>
      </c>
      <c r="BR16" t="str">
        <f t="shared" si="2"/>
        <v/>
      </c>
      <c r="BS16" t="str">
        <f t="shared" si="3"/>
        <v>{SILVER}In the early 20th century passenger coaches were stretched to greater lengths. This is a typical LNWR design.</v>
      </c>
    </row>
    <row r="17" spans="1:71" x14ac:dyDescent="0.25">
      <c r="A17" t="s">
        <v>129</v>
      </c>
      <c r="B17" t="s">
        <v>498</v>
      </c>
      <c r="C17">
        <v>14</v>
      </c>
      <c r="D17" t="s">
        <v>323</v>
      </c>
      <c r="E17" t="s">
        <v>1176</v>
      </c>
      <c r="F17" t="s">
        <v>316</v>
      </c>
      <c r="G17">
        <v>1928</v>
      </c>
      <c r="I17">
        <v>1970</v>
      </c>
      <c r="T17">
        <v>40</v>
      </c>
      <c r="V17">
        <v>6</v>
      </c>
      <c r="X17" s="4" t="str">
        <f>IF(AND(T17&gt;0,W17&gt;0),(W17/((T17+U17)*10)),"")</f>
        <v/>
      </c>
      <c r="Y17">
        <v>95</v>
      </c>
      <c r="AA17">
        <v>20</v>
      </c>
      <c r="AB17">
        <v>20</v>
      </c>
      <c r="AE17" s="11">
        <v>48</v>
      </c>
      <c r="AF17" t="str">
        <f>CONCATENATE(VLOOKUP(AG17, 'Voxel Sizes'!$A$2:$B$18,2,FALSE),"x",INT(AC17*15), "x", INT(AD17*15))</f>
        <v>198x0x0</v>
      </c>
      <c r="AG17">
        <f>ROUND(15*((AB17*10)/256),0)</f>
        <v>12</v>
      </c>
      <c r="AI17" t="str">
        <f>CONCATENATE(VLOOKUP(AG17,Constants!$A$2:$C$16,IF(AH17&lt;&gt;"", 3, 2), FALSE),IF(AH17&lt;&gt;"",CONCATENATE(",",VLOOKUP(AH17,$B:$AI,34,FALSE)),""))</f>
        <v>4,4,4</v>
      </c>
      <c r="AP17">
        <v>40</v>
      </c>
      <c r="AQ17">
        <f>IF(I17&lt;&gt;"",MAX(8,(I17-G17)-4),"")</f>
        <v>38</v>
      </c>
      <c r="AT17">
        <f>MIN(Y17/150, 1)*30</f>
        <v>19</v>
      </c>
      <c r="AU17">
        <f>MIN(K17/4000, 1)*20</f>
        <v>0</v>
      </c>
      <c r="AV17">
        <f>MIN(W17/400,1)*20</f>
        <v>0</v>
      </c>
      <c r="AW17" s="4">
        <v>1</v>
      </c>
      <c r="AX17">
        <f>((MAX($J17,1)*MIN($AE17/300,1)))*IF(D17="Wagon",50,10)</f>
        <v>8</v>
      </c>
      <c r="AY17">
        <f>VLOOKUP($E17,Constants!$I:$K, 2, FALSE)</f>
        <v>1.5</v>
      </c>
      <c r="AZ17">
        <f>VLOOKUP($E17,Constants!$I:$K, 3, FALSE)*IF(AND(D17="multiple_unit",Y17&lt;110),0.75,1)</f>
        <v>0.7</v>
      </c>
      <c r="BA17">
        <f>INT(POWER(((Constants!$G$2+$AT17+$AU17+$AV17+$AX17)*$AW17)*$AZ17, 1.05))+$AS17</f>
        <v>26</v>
      </c>
      <c r="BB17">
        <f>INT(((Constants!$G$1+$AT17+$AU17+$AV17+$AX17)*(1/$AW17))*$AY17)+$AR17</f>
        <v>93</v>
      </c>
      <c r="BD17">
        <f>Y17</f>
        <v>95</v>
      </c>
      <c r="BJ17" t="s">
        <v>943</v>
      </c>
      <c r="BK17" t="s">
        <v>325</v>
      </c>
      <c r="BL17" t="str">
        <f>VLOOKUP(G17,Eras!$A$2:$C$10, 2, TRUE)</f>
        <v>big4</v>
      </c>
      <c r="BM17" t="s">
        <v>377</v>
      </c>
      <c r="BN17" t="str">
        <f>CONCATENATE(BL17,"_",BM17)</f>
        <v>big4_Carriage</v>
      </c>
      <c r="BO17" t="str">
        <f t="shared" si="0"/>
        <v/>
      </c>
      <c r="BP17" t="str">
        <f t="shared" si="1"/>
        <v/>
      </c>
      <c r="BQ17" t="s">
        <v>499</v>
      </c>
      <c r="BR17" t="str">
        <f t="shared" si="2"/>
        <v/>
      </c>
      <c r="BS17" t="str">
        <f t="shared" si="3"/>
        <v>{SILVER}The luxurious Pullman cars were large  and heavy, with many still in use today for restaurant services.</v>
      </c>
    </row>
    <row r="18" spans="1:71" x14ac:dyDescent="0.25">
      <c r="A18" t="s">
        <v>1191</v>
      </c>
      <c r="B18" t="s">
        <v>1192</v>
      </c>
      <c r="C18">
        <v>15</v>
      </c>
      <c r="D18" t="s">
        <v>323</v>
      </c>
      <c r="E18" t="s">
        <v>1176</v>
      </c>
      <c r="F18" t="s">
        <v>316</v>
      </c>
      <c r="G18">
        <v>1931</v>
      </c>
      <c r="I18">
        <v>1965</v>
      </c>
      <c r="T18">
        <v>36</v>
      </c>
      <c r="V18">
        <v>8</v>
      </c>
      <c r="X18" s="4" t="str">
        <f>IF(AND(T18&gt;0,W18&gt;0),(W18/((T18+U18)*10)),"")</f>
        <v/>
      </c>
      <c r="Y18">
        <v>130</v>
      </c>
      <c r="AA18">
        <v>17.7</v>
      </c>
      <c r="AB18">
        <v>17.7</v>
      </c>
      <c r="AC18">
        <v>2.83</v>
      </c>
      <c r="AD18">
        <v>3.79</v>
      </c>
      <c r="AE18" s="11">
        <v>45</v>
      </c>
      <c r="AF18" t="str">
        <f>CONCATENATE(VLOOKUP(AG18, 'Voxel Sizes'!$A$2:$B$18,2,FALSE),"x",INT(AC18*15), "x", INT(AD18*15))</f>
        <v>164x42x56</v>
      </c>
      <c r="AG18">
        <f>ROUND(15*((AB18*10)/256),0)</f>
        <v>10</v>
      </c>
      <c r="AI18" t="str">
        <f>CONCATENATE(VLOOKUP(AG18,Constants!$A$2:$C$16,IF(AH18&lt;&gt;"", 3, 2), FALSE),IF(AH18&lt;&gt;"",CONCATENATE(",",VLOOKUP(AH18,$B:$AI,34,FALSE)),""))</f>
        <v>4,2,4</v>
      </c>
      <c r="AP18">
        <v>40</v>
      </c>
      <c r="AQ18">
        <f>IF(I18&lt;&gt;"",MAX(8,(I18-G18)-4),"")</f>
        <v>30</v>
      </c>
      <c r="AT18">
        <f>MIN(Y18/150, 1)*30</f>
        <v>26</v>
      </c>
      <c r="AU18">
        <f>MIN(K18/4000, 1)*20</f>
        <v>0</v>
      </c>
      <c r="AV18">
        <f>MIN(W18/400,1)*20</f>
        <v>0</v>
      </c>
      <c r="AW18" s="4">
        <v>1</v>
      </c>
      <c r="AX18">
        <f>((MAX($J18,1)*MIN($AE18/300,1)))*IF(D18="Wagon",50,10)</f>
        <v>7.5</v>
      </c>
      <c r="AY18">
        <f>VLOOKUP($E18,Constants!$I:$K, 2, FALSE)</f>
        <v>1.5</v>
      </c>
      <c r="AZ18">
        <f>VLOOKUP($E18,Constants!$I:$K, 3, FALSE)*IF(AND(D18="multiple_unit",Y18&lt;110),0.75,1)</f>
        <v>0.7</v>
      </c>
      <c r="BA18">
        <f>INT(POWER(((Constants!$G$2+$AT18+$AU18+$AV18+$AX18)*$AW18)*$AZ18, 1.05))+$AS18</f>
        <v>31</v>
      </c>
      <c r="BB18">
        <f>INT(((Constants!$G$1+$AT18+$AU18+$AV18+$AX18)*(1/$AW18))*$AY18)+$AR18</f>
        <v>102</v>
      </c>
      <c r="BD18">
        <f>Y18</f>
        <v>130</v>
      </c>
      <c r="BJ18" t="s">
        <v>943</v>
      </c>
      <c r="BK18" t="s">
        <v>325</v>
      </c>
      <c r="BL18" t="str">
        <f>VLOOKUP(G18,Eras!$A$2:$C$10, 2, TRUE)</f>
        <v>big4</v>
      </c>
      <c r="BM18" t="s">
        <v>377</v>
      </c>
      <c r="BN18" t="str">
        <f>CONCATENATE(BL18,"_",BM18)</f>
        <v>big4_Carriage</v>
      </c>
      <c r="BO18" t="str">
        <f t="shared" si="0"/>
        <v/>
      </c>
      <c r="BP18" t="str">
        <f t="shared" si="1"/>
        <v/>
      </c>
      <c r="BQ18" t="s">
        <v>1193</v>
      </c>
      <c r="BR18" t="str">
        <f t="shared" si="2"/>
        <v/>
      </c>
      <c r="BS18" t="str">
        <f t="shared" si="3"/>
        <v>{SILVER}As express services increased in speed, carriages were streamlined with valances between bogies and flexible walls connecting each carriage.</v>
      </c>
    </row>
    <row r="19" spans="1:71" x14ac:dyDescent="0.25">
      <c r="A19" t="s">
        <v>131</v>
      </c>
      <c r="B19" t="s">
        <v>300</v>
      </c>
      <c r="C19">
        <v>16</v>
      </c>
      <c r="D19" t="s">
        <v>323</v>
      </c>
      <c r="E19" t="s">
        <v>1175</v>
      </c>
      <c r="F19" t="s">
        <v>316</v>
      </c>
      <c r="G19">
        <v>1951</v>
      </c>
      <c r="H19">
        <v>1963</v>
      </c>
      <c r="I19">
        <v>1974</v>
      </c>
      <c r="T19">
        <v>32.5</v>
      </c>
      <c r="V19">
        <v>9</v>
      </c>
      <c r="X19" s="4" t="str">
        <f>IF(AND(T19&gt;0,W19&gt;0),(W19/((T19+U19)*10)),"")</f>
        <v/>
      </c>
      <c r="Y19">
        <v>100</v>
      </c>
      <c r="AA19">
        <v>19.3</v>
      </c>
      <c r="AB19">
        <v>20</v>
      </c>
      <c r="AE19" s="11">
        <v>54</v>
      </c>
      <c r="AF19" t="str">
        <f>CONCATENATE(VLOOKUP(AG19, 'Voxel Sizes'!$A$2:$B$18,2,FALSE),"x",INT(AC19*15), "x", INT(AD19*15))</f>
        <v>198x0x0</v>
      </c>
      <c r="AG19">
        <f>ROUND(15*((AB19*10)/256),0)</f>
        <v>12</v>
      </c>
      <c r="AI19" t="str">
        <f>CONCATENATE(VLOOKUP(AG19,Constants!$A$2:$C$16,IF(AH19&lt;&gt;"", 3, 2), FALSE),IF(AH19&lt;&gt;"",CONCATENATE(",",VLOOKUP(AH19,$B:$AI,34,FALSE)),""))</f>
        <v>4,4,4</v>
      </c>
      <c r="AP19">
        <v>40</v>
      </c>
      <c r="AQ19">
        <f>IF(I19&lt;&gt;"",MAX(8,(I19-G19)-4),"")</f>
        <v>19</v>
      </c>
      <c r="AT19">
        <f>MIN(Y19/150, 1)*30</f>
        <v>20</v>
      </c>
      <c r="AU19">
        <f>MIN(K19/4000, 1)*20</f>
        <v>0</v>
      </c>
      <c r="AV19">
        <f>MIN(W19/400,1)*20</f>
        <v>0</v>
      </c>
      <c r="AW19" s="4">
        <v>1</v>
      </c>
      <c r="AX19">
        <f>((MAX($J19,1)*MIN($AE19/300,1)))*IF(D19="Wagon",50,10)</f>
        <v>9</v>
      </c>
      <c r="AY19">
        <f>VLOOKUP($E19,Constants!$I:$K, 2, FALSE)</f>
        <v>1.2</v>
      </c>
      <c r="AZ19">
        <f>VLOOKUP($E19,Constants!$I:$K, 3, FALSE)*IF(AND(D19="multiple_unit",Y19&lt;110),0.75,1)</f>
        <v>0.6</v>
      </c>
      <c r="BA19">
        <f>INT(POWER(((Constants!$G$2+$AT19+$AU19+$AV19+$AX19)*$AW19)*$AZ19, 1.05))+$AS19</f>
        <v>23</v>
      </c>
      <c r="BB19">
        <f>INT(((Constants!$G$1+$AT19+$AU19+$AV19+$AX19)*(1/$AW19))*$AY19)+$AR19</f>
        <v>76</v>
      </c>
      <c r="BD19">
        <f>Y19</f>
        <v>100</v>
      </c>
      <c r="BJ19" t="s">
        <v>943</v>
      </c>
      <c r="BK19" t="s">
        <v>325</v>
      </c>
      <c r="BL19" t="str">
        <f>VLOOKUP(G19,Eras!$A$2:$C$10, 2, TRUE)</f>
        <v>ebr</v>
      </c>
      <c r="BM19" t="s">
        <v>377</v>
      </c>
      <c r="BN19" t="str">
        <f>CONCATENATE(BL19,"_",BM19)</f>
        <v>ebr_Carriage</v>
      </c>
      <c r="BO19" t="str">
        <f t="shared" si="0"/>
        <v/>
      </c>
      <c r="BP19" t="str">
        <f t="shared" si="1"/>
        <v/>
      </c>
      <c r="BQ19" t="s">
        <v>681</v>
      </c>
      <c r="BR19" t="str">
        <f t="shared" si="2"/>
        <v/>
      </c>
      <c r="BS19" t="str">
        <f t="shared" si="3"/>
        <v>{SILVER}The Mk1 carriage combined best practice from the different Big Four carriage designs into a single standard design that could be used across the BR network.</v>
      </c>
    </row>
    <row r="20" spans="1:71" x14ac:dyDescent="0.25">
      <c r="A20" t="s">
        <v>132</v>
      </c>
      <c r="B20" t="s">
        <v>299</v>
      </c>
      <c r="C20">
        <v>17</v>
      </c>
      <c r="D20" t="s">
        <v>323</v>
      </c>
      <c r="E20" t="s">
        <v>1175</v>
      </c>
      <c r="F20" t="s">
        <v>316</v>
      </c>
      <c r="G20">
        <v>1956</v>
      </c>
      <c r="I20">
        <v>2010</v>
      </c>
      <c r="T20">
        <v>40</v>
      </c>
      <c r="V20">
        <v>9</v>
      </c>
      <c r="X20" s="4" t="str">
        <f>IF(AND(T20&gt;0,W20&gt;0),(W20/((T20+U20)*10)),"")</f>
        <v/>
      </c>
      <c r="Y20">
        <v>110</v>
      </c>
      <c r="AA20">
        <v>19.66</v>
      </c>
      <c r="AB20">
        <v>19.66</v>
      </c>
      <c r="AC20">
        <v>2.83</v>
      </c>
      <c r="AD20">
        <v>3.79</v>
      </c>
      <c r="AE20" s="11">
        <v>57</v>
      </c>
      <c r="AF20" t="str">
        <f>CONCATENATE(VLOOKUP(AG20, 'Voxel Sizes'!$A$2:$B$18,2,FALSE),"x",INT(AC20*15), "x", INT(AD20*15))</f>
        <v>198x42x56</v>
      </c>
      <c r="AG20">
        <f>ROUND(15*((AB20*10)/256),0)</f>
        <v>12</v>
      </c>
      <c r="AI20" t="str">
        <f>CONCATENATE(VLOOKUP(AG20,Constants!$A$2:$C$16,IF(AH20&lt;&gt;"", 3, 2), FALSE),IF(AH20&lt;&gt;"",CONCATENATE(",",VLOOKUP(AH20,$B:$AI,34,FALSE)),""))</f>
        <v>4,4,4</v>
      </c>
      <c r="AP20">
        <v>40</v>
      </c>
      <c r="AQ20">
        <f>IF(I20&lt;&gt;"",MAX(8,(I20-G20)-4),"")</f>
        <v>50</v>
      </c>
      <c r="AT20">
        <f>MIN(Y20/150, 1)*30</f>
        <v>22</v>
      </c>
      <c r="AU20">
        <f>MIN(K20/4000, 1)*20</f>
        <v>0</v>
      </c>
      <c r="AV20">
        <f>MIN(W20/400,1)*20</f>
        <v>0</v>
      </c>
      <c r="AW20" s="4">
        <v>1</v>
      </c>
      <c r="AX20">
        <f>((MAX($J20,1)*MIN($AE20/300,1)))*IF(D20="Wagon",50,10)</f>
        <v>9.5</v>
      </c>
      <c r="AY20">
        <f>VLOOKUP($E20,Constants!$I:$K, 2, FALSE)</f>
        <v>1.2</v>
      </c>
      <c r="AZ20">
        <f>VLOOKUP($E20,Constants!$I:$K, 3, FALSE)*IF(AND(D20="multiple_unit",Y20&lt;110),0.75,1)</f>
        <v>0.6</v>
      </c>
      <c r="BA20">
        <f>INT(POWER(((Constants!$G$2+$AT20+$AU20+$AV20+$AX20)*$AW20)*$AZ20, 1.05))+$AS20</f>
        <v>25</v>
      </c>
      <c r="BB20">
        <f>INT(((Constants!$G$1+$AT20+$AU20+$AV20+$AX20)*(1/$AW20))*$AY20)+$AR20</f>
        <v>79</v>
      </c>
      <c r="BD20">
        <f>Y20</f>
        <v>110</v>
      </c>
      <c r="BJ20" t="s">
        <v>943</v>
      </c>
      <c r="BK20" t="s">
        <v>325</v>
      </c>
      <c r="BL20" t="str">
        <f>VLOOKUP(G20,Eras!$A$2:$C$10, 2, TRUE)</f>
        <v>dsl</v>
      </c>
      <c r="BM20" t="s">
        <v>377</v>
      </c>
      <c r="BN20" t="str">
        <f>CONCATENATE(BL20,"_",BM20)</f>
        <v>dsl_Carriage</v>
      </c>
      <c r="BO20" t="str">
        <f t="shared" si="0"/>
        <v/>
      </c>
      <c r="BP20" t="str">
        <f t="shared" si="1"/>
        <v/>
      </c>
      <c r="BQ20" t="s">
        <v>403</v>
      </c>
      <c r="BR20" t="str">
        <f t="shared" si="2"/>
        <v/>
      </c>
      <c r="BS20" t="str">
        <f t="shared" si="3"/>
        <v>{SILVER}The Mk2 carriage is the second BR carriage design. It was built to be stronger than the Mk1, giving better corrosion resistance and being safer for passengers in an accident.</v>
      </c>
    </row>
    <row r="21" spans="1:71" x14ac:dyDescent="0.25">
      <c r="A21" t="s">
        <v>133</v>
      </c>
      <c r="B21" t="s">
        <v>301</v>
      </c>
      <c r="C21">
        <v>18</v>
      </c>
      <c r="D21" t="s">
        <v>323</v>
      </c>
      <c r="E21" t="s">
        <v>1175</v>
      </c>
      <c r="F21" t="s">
        <v>316</v>
      </c>
      <c r="G21">
        <v>1975</v>
      </c>
      <c r="T21">
        <v>34</v>
      </c>
      <c r="V21">
        <v>9</v>
      </c>
      <c r="X21" s="4" t="str">
        <f>IF(AND(T21&gt;0,W21&gt;0),(W21/((T21+U21)*10)),"")</f>
        <v/>
      </c>
      <c r="Y21">
        <v>125</v>
      </c>
      <c r="AA21">
        <v>23</v>
      </c>
      <c r="AB21">
        <v>23</v>
      </c>
      <c r="AC21">
        <v>2.82</v>
      </c>
      <c r="AD21">
        <v>3.79</v>
      </c>
      <c r="AE21" s="11">
        <v>72</v>
      </c>
      <c r="AF21" t="str">
        <f>CONCATENATE(VLOOKUP(AG21, 'Voxel Sizes'!$A$2:$B$18,2,FALSE),"x",INT(AC21*15), "x", INT(AD21*15))</f>
        <v>214x42x56</v>
      </c>
      <c r="AG21">
        <f>ROUND(15*((AB21*10)/256),0)</f>
        <v>13</v>
      </c>
      <c r="AI21" t="str">
        <f>CONCATENATE(VLOOKUP(AG21,Constants!$A$2:$C$16,IF(AH21&lt;&gt;"", 3, 2), FALSE),IF(AH21&lt;&gt;"",CONCATENATE(",",VLOOKUP(AH21,$B:$AI,34,FALSE)),""))</f>
        <v>4,5,4</v>
      </c>
      <c r="AP21">
        <v>40</v>
      </c>
      <c r="AQ21" t="str">
        <f>IF(I21&lt;&gt;"",MAX(8,(I21-G21)-4),"")</f>
        <v/>
      </c>
      <c r="AT21">
        <f>MIN(Y21/150, 1)*30</f>
        <v>25</v>
      </c>
      <c r="AU21">
        <f>MIN(K21/4000, 1)*20</f>
        <v>0</v>
      </c>
      <c r="AV21">
        <f>MIN(W21/400,1)*20</f>
        <v>0</v>
      </c>
      <c r="AW21" s="4">
        <v>1</v>
      </c>
      <c r="AX21">
        <f>((MAX($J21,1)*MIN($AE21/300,1)))*IF(D21="Wagon",50,10)</f>
        <v>12</v>
      </c>
      <c r="AY21">
        <f>VLOOKUP($E21,Constants!$I:$K, 2, FALSE)</f>
        <v>1.2</v>
      </c>
      <c r="AZ21">
        <f>VLOOKUP($E21,Constants!$I:$K, 3, FALSE)*IF(AND(D21="multiple_unit",Y21&lt;110),0.75,1)</f>
        <v>0.6</v>
      </c>
      <c r="BA21">
        <f>INT(POWER(((Constants!$G$2+$AT21+$AU21+$AV21+$AX21)*$AW21)*$AZ21, 1.05))+$AS21</f>
        <v>29</v>
      </c>
      <c r="BB21">
        <f>INT(((Constants!$G$1+$AT21+$AU21+$AV21+$AX21)*(1/$AW21))*$AY21)+$AR21</f>
        <v>86</v>
      </c>
      <c r="BD21">
        <f>Y21</f>
        <v>125</v>
      </c>
      <c r="BJ21" t="s">
        <v>943</v>
      </c>
      <c r="BK21" t="s">
        <v>325</v>
      </c>
      <c r="BL21" t="str">
        <f>VLOOKUP(G21,Eras!$A$2:$C$10, 2, TRUE)</f>
        <v>lbr</v>
      </c>
      <c r="BM21" t="s">
        <v>377</v>
      </c>
      <c r="BN21" t="str">
        <f>CONCATENATE(BL21,"_",BM21)</f>
        <v>lbr_Carriage</v>
      </c>
      <c r="BO21" t="str">
        <f t="shared" si="0"/>
        <v/>
      </c>
      <c r="BP21" t="str">
        <f t="shared" si="1"/>
        <v/>
      </c>
      <c r="BQ21" t="s">
        <v>404</v>
      </c>
      <c r="BR21" t="str">
        <f t="shared" si="2"/>
        <v/>
      </c>
      <c r="BS21" t="str">
        <f t="shared" si="3"/>
        <v xml:space="preserve">{SILVER}The Mk3 carriage is designed for higher speed operation, capable of running at up to 125mph. The first Mk3 carriages were built for the prototype HST. </v>
      </c>
    </row>
    <row r="22" spans="1:71" x14ac:dyDescent="0.25">
      <c r="A22" t="s">
        <v>134</v>
      </c>
      <c r="B22" t="s">
        <v>302</v>
      </c>
      <c r="C22">
        <v>19</v>
      </c>
      <c r="D22" t="s">
        <v>323</v>
      </c>
      <c r="E22" t="s">
        <v>1175</v>
      </c>
      <c r="F22" t="s">
        <v>316</v>
      </c>
      <c r="G22">
        <v>1988</v>
      </c>
      <c r="T22">
        <v>40</v>
      </c>
      <c r="V22">
        <v>9</v>
      </c>
      <c r="X22" s="4" t="str">
        <f>IF(AND(T22&gt;0,W22&gt;0),(W22/((T22+U22)*10)),"")</f>
        <v/>
      </c>
      <c r="Y22">
        <v>140</v>
      </c>
      <c r="AA22">
        <v>23</v>
      </c>
      <c r="AB22">
        <v>23</v>
      </c>
      <c r="AC22">
        <v>2.82</v>
      </c>
      <c r="AD22">
        <v>3.79</v>
      </c>
      <c r="AE22" s="11">
        <v>72</v>
      </c>
      <c r="AF22" t="str">
        <f>CONCATENATE(VLOOKUP(AG22, 'Voxel Sizes'!$A$2:$B$18,2,FALSE),"x",INT(AC22*15), "x", INT(AD22*15))</f>
        <v>214x42x56</v>
      </c>
      <c r="AG22">
        <f>ROUND(15*((AB22*10)/256),0)</f>
        <v>13</v>
      </c>
      <c r="AI22" t="str">
        <f>CONCATENATE(VLOOKUP(AG22,Constants!$A$2:$C$16,IF(AH22&lt;&gt;"", 3, 2), FALSE),IF(AH22&lt;&gt;"",CONCATENATE(",",VLOOKUP(AH22,$B:$AI,34,FALSE)),""))</f>
        <v>4,5,4</v>
      </c>
      <c r="AP22">
        <v>40</v>
      </c>
      <c r="AQ22" t="str">
        <f>IF(I22&lt;&gt;"",MAX(8,(I22-G22)-4),"")</f>
        <v/>
      </c>
      <c r="AT22">
        <f>MIN(Y22/150, 1)*30</f>
        <v>28</v>
      </c>
      <c r="AU22">
        <f>MIN(K22/4000, 1)*20</f>
        <v>0</v>
      </c>
      <c r="AV22">
        <f>MIN(W22/400,1)*20</f>
        <v>0</v>
      </c>
      <c r="AW22" s="4">
        <v>1</v>
      </c>
      <c r="AX22">
        <f>((MAX($J22,1)*MIN($AE22/300,1)))*IF(D22="Wagon",50,10)</f>
        <v>12</v>
      </c>
      <c r="AY22">
        <f>VLOOKUP($E22,Constants!$I:$K, 2, FALSE)</f>
        <v>1.2</v>
      </c>
      <c r="AZ22">
        <f>VLOOKUP($E22,Constants!$I:$K, 3, FALSE)*IF(AND(D22="multiple_unit",Y22&lt;110),0.75,1)</f>
        <v>0.6</v>
      </c>
      <c r="BA22">
        <f>INT(POWER(((Constants!$G$2+$AT22+$AU22+$AV22+$AX22)*$AW22)*$AZ22, 1.05))+$AS22</f>
        <v>31</v>
      </c>
      <c r="BB22">
        <f>INT(((Constants!$G$1+$AT22+$AU22+$AV22+$AX22)*(1/$AW22))*$AY22)+$AR22</f>
        <v>90</v>
      </c>
      <c r="BD22">
        <f>Y22</f>
        <v>140</v>
      </c>
      <c r="BJ22" t="s">
        <v>943</v>
      </c>
      <c r="BK22" t="s">
        <v>325</v>
      </c>
      <c r="BL22" t="str">
        <f>VLOOKUP(G22,Eras!$A$2:$C$10, 2, TRUE)</f>
        <v>lbr</v>
      </c>
      <c r="BM22" t="s">
        <v>377</v>
      </c>
      <c r="BN22" t="str">
        <f>CONCATENATE(BL22,"_",BM22)</f>
        <v>lbr_Carriage</v>
      </c>
      <c r="BO22" t="str">
        <f t="shared" si="0"/>
        <v/>
      </c>
      <c r="BP22" t="str">
        <f t="shared" si="1"/>
        <v/>
      </c>
      <c r="BQ22" t="s">
        <v>628</v>
      </c>
      <c r="BR22" t="str">
        <f t="shared" si="2"/>
        <v/>
      </c>
      <c r="BS22" t="str">
        <f t="shared" si="3"/>
        <v>{SILVER}The Mk4 carriage is a further improvement on the Mk3. It's designed for use with the Class 91 for Intercity 225 services.</v>
      </c>
    </row>
    <row r="23" spans="1:71" x14ac:dyDescent="0.25">
      <c r="A23" t="s">
        <v>139</v>
      </c>
      <c r="B23" t="s">
        <v>297</v>
      </c>
      <c r="C23">
        <v>22</v>
      </c>
      <c r="D23" t="s">
        <v>323</v>
      </c>
      <c r="E23" t="s">
        <v>323</v>
      </c>
      <c r="F23" t="s">
        <v>316</v>
      </c>
      <c r="G23">
        <v>1850</v>
      </c>
      <c r="I23">
        <v>1920</v>
      </c>
      <c r="T23">
        <v>5</v>
      </c>
      <c r="V23">
        <v>5</v>
      </c>
      <c r="X23" s="4" t="str">
        <f>IF(AND(T23&gt;0,W23&gt;0),(W23/((T23+U23)*10)),"")</f>
        <v/>
      </c>
      <c r="Y23">
        <v>35</v>
      </c>
      <c r="AA23">
        <v>4.9000000000000004</v>
      </c>
      <c r="AB23">
        <v>6</v>
      </c>
      <c r="AE23" s="11">
        <v>15</v>
      </c>
      <c r="AF23" t="str">
        <f>CONCATENATE(VLOOKUP(AG23, 'Voxel Sizes'!$A$2:$B$18,2,FALSE),"x",INT(AC23*15), "x", INT(AD23*15))</f>
        <v>60x0x0</v>
      </c>
      <c r="AG23">
        <f>ROUND(15*((AB23*10)/256),0)</f>
        <v>4</v>
      </c>
      <c r="AI23" t="str">
        <f>CONCATENATE(VLOOKUP(AG23,Constants!$A$2:$C$16,IF(AH23&lt;&gt;"", 3, 2), FALSE),IF(AH23&lt;&gt;"",CONCATENATE(",",VLOOKUP(AH23,$B:$AI,34,FALSE)),""))</f>
        <v>1,2,1</v>
      </c>
      <c r="AP23">
        <v>40</v>
      </c>
      <c r="AQ23">
        <f>IF(I23&lt;&gt;"",MAX(8,(I23-G23)-4),"")</f>
        <v>66</v>
      </c>
      <c r="AT23">
        <f>MIN(Y23/150, 1)*30</f>
        <v>7</v>
      </c>
      <c r="AU23">
        <f>MIN(K23/4000, 1)*20</f>
        <v>0</v>
      </c>
      <c r="AV23">
        <f>MIN(W23/400,1)*20</f>
        <v>0</v>
      </c>
      <c r="AW23" s="4">
        <v>1</v>
      </c>
      <c r="AX23">
        <f>((MAX($J23,1)*MIN($AE23/300,1)))*IF(D23="Wagon",50,10)</f>
        <v>2.5</v>
      </c>
      <c r="AY23">
        <f>VLOOKUP($E23,Constants!$I:$K, 2, FALSE)</f>
        <v>1</v>
      </c>
      <c r="AZ23">
        <f>VLOOKUP($E23,Constants!$I:$K, 3, FALSE)*IF(AND(D23="multiple_unit",Y23&lt;110),0.75,1)</f>
        <v>0.45</v>
      </c>
      <c r="BA23">
        <f>INT(POWER(((Constants!$G$2+$AT23+$AU23+$AV23+$AX23)*$AW23)*$AZ23, 1.05))+$AS23</f>
        <v>7</v>
      </c>
      <c r="BB23">
        <f>INT(((Constants!$G$1+$AT23+$AU23+$AV23+$AX23)*(1/$AW23))*$AY23)+$AR23</f>
        <v>44</v>
      </c>
      <c r="BD23">
        <f>INT(Y23*1.25)</f>
        <v>43</v>
      </c>
      <c r="BJ23" t="s">
        <v>1110</v>
      </c>
      <c r="BK23" t="s">
        <v>782</v>
      </c>
      <c r="BL23" t="str">
        <f>VLOOKUP(G23,Eras!$A$2:$C$10, 2, TRUE)</f>
        <v>vct</v>
      </c>
      <c r="BM23" t="s">
        <v>382</v>
      </c>
      <c r="BN23" t="str">
        <f>CONCATENATE(BL23,"_",BM23)</f>
        <v>vct_Open Wagon</v>
      </c>
      <c r="BO23" t="str">
        <f t="shared" si="0"/>
        <v>{BLACK}Tare speed: {GOLD}{VELOCITY}{}</v>
      </c>
      <c r="BP23" t="str">
        <f t="shared" si="1"/>
        <v/>
      </c>
      <c r="BQ23" t="s">
        <v>406</v>
      </c>
      <c r="BR23" t="str">
        <f t="shared" si="2"/>
        <v/>
      </c>
      <c r="BS23" t="str">
        <f t="shared" si="3"/>
        <v>{BLACK}Tare speed: {GOLD}{VELOCITY}{}{SILVER}Open "plank" wagons are named for the number of planks used in the construction of their sides.</v>
      </c>
    </row>
    <row r="24" spans="1:71" x14ac:dyDescent="0.25">
      <c r="A24" t="s">
        <v>140</v>
      </c>
      <c r="B24" t="s">
        <v>298</v>
      </c>
      <c r="C24">
        <v>23</v>
      </c>
      <c r="D24" t="s">
        <v>323</v>
      </c>
      <c r="E24" t="s">
        <v>323</v>
      </c>
      <c r="F24" t="s">
        <v>316</v>
      </c>
      <c r="G24">
        <v>1902</v>
      </c>
      <c r="I24">
        <v>1965</v>
      </c>
      <c r="T24">
        <v>8</v>
      </c>
      <c r="V24">
        <v>5</v>
      </c>
      <c r="X24" s="4" t="str">
        <f>IF(AND(T24&gt;0,W24&gt;0),(W24/((T24+U24)*10)),"")</f>
        <v/>
      </c>
      <c r="Y24">
        <v>45</v>
      </c>
      <c r="AA24">
        <v>4.9000000000000004</v>
      </c>
      <c r="AB24">
        <v>6</v>
      </c>
      <c r="AE24" s="11">
        <v>21</v>
      </c>
      <c r="AF24" t="str">
        <f>CONCATENATE(VLOOKUP(AG24, 'Voxel Sizes'!$A$2:$B$18,2,FALSE),"x",INT(AC24*15), "x", INT(AD24*15))</f>
        <v>60x0x0</v>
      </c>
      <c r="AG24">
        <f>ROUND(15*((AB24*10)/256),0)</f>
        <v>4</v>
      </c>
      <c r="AI24" t="str">
        <f>CONCATENATE(VLOOKUP(AG24,Constants!$A$2:$C$16,IF(AH24&lt;&gt;"", 3, 2), FALSE),IF(AH24&lt;&gt;"",CONCATENATE(",",VLOOKUP(AH24,$B:$AI,34,FALSE)),""))</f>
        <v>1,2,1</v>
      </c>
      <c r="AP24">
        <v>40</v>
      </c>
      <c r="AQ24">
        <f>IF(I24&lt;&gt;"",MAX(8,(I24-G24)-4),"")</f>
        <v>59</v>
      </c>
      <c r="AT24">
        <f>MIN(Y24/150, 1)*30</f>
        <v>9</v>
      </c>
      <c r="AU24">
        <f>MIN(K24/4000, 1)*20</f>
        <v>0</v>
      </c>
      <c r="AV24">
        <f>MIN(W24/400,1)*20</f>
        <v>0</v>
      </c>
      <c r="AW24" s="4">
        <v>1</v>
      </c>
      <c r="AX24">
        <f>((MAX($J24,1)*MIN($AE24/300,1)))*IF(D24="Wagon",50,10)</f>
        <v>3.5000000000000004</v>
      </c>
      <c r="AY24">
        <f>VLOOKUP($E24,Constants!$I:$K, 2, FALSE)</f>
        <v>1</v>
      </c>
      <c r="AZ24">
        <f>VLOOKUP($E24,Constants!$I:$K, 3, FALSE)*IF(AND(D24="multiple_unit",Y24&lt;110),0.75,1)</f>
        <v>0.45</v>
      </c>
      <c r="BA24">
        <f>INT(POWER(((Constants!$G$2+$AT24+$AU24+$AV24+$AX24)*$AW24)*$AZ24, 1.05))+$AS24</f>
        <v>8</v>
      </c>
      <c r="BB24">
        <f>INT(((Constants!$G$1+$AT24+$AU24+$AV24+$AX24)*(1/$AW24))*$AY24)+$AR24</f>
        <v>47</v>
      </c>
      <c r="BD24">
        <f>INT(Y24*1.25)</f>
        <v>56</v>
      </c>
      <c r="BJ24" t="s">
        <v>1110</v>
      </c>
      <c r="BK24" t="s">
        <v>782</v>
      </c>
      <c r="BL24" t="str">
        <f>VLOOKUP(G24,Eras!$A$2:$C$10, 2, TRUE)</f>
        <v>edw</v>
      </c>
      <c r="BM24" t="s">
        <v>382</v>
      </c>
      <c r="BN24" t="str">
        <f>CONCATENATE(BL24,"_",BM24)</f>
        <v>edw_Open Wagon</v>
      </c>
      <c r="BO24" t="str">
        <f t="shared" si="0"/>
        <v>{BLACK}Tare speed: {GOLD}{VELOCITY}{}</v>
      </c>
      <c r="BP24" t="str">
        <f t="shared" si="1"/>
        <v/>
      </c>
      <c r="BQ24" t="s">
        <v>407</v>
      </c>
      <c r="BR24" t="str">
        <f t="shared" si="2"/>
        <v/>
      </c>
      <c r="BS24" t="str">
        <f t="shared" si="3"/>
        <v>{BLACK}Tare speed: {GOLD}{VELOCITY}{}{SILVER}The 5 plank wagon became one of the common standard types used by the GWR, with thousands built.</v>
      </c>
    </row>
    <row r="25" spans="1:71" x14ac:dyDescent="0.25">
      <c r="A25" t="s">
        <v>141</v>
      </c>
      <c r="B25" t="s">
        <v>242</v>
      </c>
      <c r="C25">
        <v>24</v>
      </c>
      <c r="D25" t="s">
        <v>323</v>
      </c>
      <c r="E25" t="s">
        <v>323</v>
      </c>
      <c r="F25" t="s">
        <v>316</v>
      </c>
      <c r="G25">
        <v>1935</v>
      </c>
      <c r="I25">
        <v>1970</v>
      </c>
      <c r="T25">
        <v>10</v>
      </c>
      <c r="V25">
        <v>7</v>
      </c>
      <c r="X25" s="4" t="str">
        <f>IF(AND(T25&gt;0,W25&gt;0),(W25/((T25+U25)*10)),"")</f>
        <v/>
      </c>
      <c r="Y25">
        <v>50</v>
      </c>
      <c r="AA25">
        <v>8</v>
      </c>
      <c r="AB25">
        <v>8</v>
      </c>
      <c r="AE25" s="11">
        <v>27</v>
      </c>
      <c r="AF25" t="str">
        <f>CONCATENATE(VLOOKUP(AG25, 'Voxel Sizes'!$A$2:$B$18,2,FALSE),"x",INT(AC25*15), "x", INT(AD25*15))</f>
        <v>82x0x0</v>
      </c>
      <c r="AG25">
        <f>ROUND(15*((AB25*10)/256),0)</f>
        <v>5</v>
      </c>
      <c r="AI25" t="str">
        <f>CONCATENATE(VLOOKUP(AG25,Constants!$A$2:$C$16,IF(AH25&lt;&gt;"", 3, 2), FALSE),IF(AH25&lt;&gt;"",CONCATENATE(",",VLOOKUP(AH25,$B:$AI,34,FALSE)),""))</f>
        <v>2,1,2</v>
      </c>
      <c r="AP25">
        <v>40</v>
      </c>
      <c r="AQ25">
        <f>IF(I25&lt;&gt;"",MAX(8,(I25-G25)-4),"")</f>
        <v>31</v>
      </c>
      <c r="AT25">
        <f>MIN(Y25/150, 1)*30</f>
        <v>10</v>
      </c>
      <c r="AU25">
        <f>MIN(K25/4000, 1)*20</f>
        <v>0</v>
      </c>
      <c r="AV25">
        <f>MIN(W25/400,1)*20</f>
        <v>0</v>
      </c>
      <c r="AW25" s="4">
        <v>1</v>
      </c>
      <c r="AX25">
        <f>((MAX($J25,1)*MIN($AE25/300,1)))*IF(D25="Wagon",50,10)</f>
        <v>4.5</v>
      </c>
      <c r="AY25">
        <f>VLOOKUP($E25,Constants!$I:$K, 2, FALSE)</f>
        <v>1</v>
      </c>
      <c r="AZ25">
        <f>VLOOKUP($E25,Constants!$I:$K, 3, FALSE)*IF(AND(D25="multiple_unit",Y25&lt;110),0.75,1)</f>
        <v>0.45</v>
      </c>
      <c r="BA25">
        <f>INT(POWER(((Constants!$G$2+$AT25+$AU25+$AV25+$AX25)*$AW25)*$AZ25, 1.05))+$AS25</f>
        <v>9</v>
      </c>
      <c r="BB25">
        <f>INT(((Constants!$G$1+$AT25+$AU25+$AV25+$AX25)*(1/$AW25))*$AY25)+$AR25</f>
        <v>49</v>
      </c>
      <c r="BD25">
        <f>INT(Y25*1.25)</f>
        <v>62</v>
      </c>
      <c r="BJ25" t="s">
        <v>1110</v>
      </c>
      <c r="BK25" t="s">
        <v>782</v>
      </c>
      <c r="BL25" t="str">
        <f>VLOOKUP(G25,Eras!$A$2:$C$10, 2, TRUE)</f>
        <v>big4</v>
      </c>
      <c r="BM25" t="s">
        <v>382</v>
      </c>
      <c r="BN25" t="str">
        <f>CONCATENATE(BL25,"_",BM25)</f>
        <v>big4_Open Wagon</v>
      </c>
      <c r="BO25" t="str">
        <f t="shared" si="0"/>
        <v>{BLACK}Tare speed: {GOLD}{VELOCITY}{}</v>
      </c>
      <c r="BP25" t="str">
        <f t="shared" si="1"/>
        <v/>
      </c>
      <c r="BQ25" t="s">
        <v>783</v>
      </c>
      <c r="BR25" t="str">
        <f t="shared" si="2"/>
        <v/>
      </c>
      <c r="BS25" t="str">
        <f t="shared" si="3"/>
        <v>{BLACK}Tare speed: {GOLD}{VELOCITY}{}{SILVER}Steel wagons were introduced in the 1930s to have a longer service life than wooden wagons, which were proving uneconomical for many owners to operate after recessions at the start of the decade.</v>
      </c>
    </row>
    <row r="26" spans="1:71" x14ac:dyDescent="0.25">
      <c r="A26" t="s">
        <v>787</v>
      </c>
      <c r="B26" t="s">
        <v>788</v>
      </c>
      <c r="C26">
        <v>26</v>
      </c>
      <c r="D26" t="s">
        <v>323</v>
      </c>
      <c r="E26" t="s">
        <v>323</v>
      </c>
      <c r="F26" t="s">
        <v>316</v>
      </c>
      <c r="G26">
        <v>1951</v>
      </c>
      <c r="I26">
        <v>1985</v>
      </c>
      <c r="T26">
        <v>10</v>
      </c>
      <c r="V26">
        <v>7</v>
      </c>
      <c r="X26" s="4" t="str">
        <f>IF(AND(T26&gt;0,W26&gt;0),(W26/((T26+U26)*10)),"")</f>
        <v/>
      </c>
      <c r="Y26">
        <v>60</v>
      </c>
      <c r="AA26">
        <v>8</v>
      </c>
      <c r="AB26">
        <v>8</v>
      </c>
      <c r="AE26" s="11">
        <v>27</v>
      </c>
      <c r="AF26" t="str">
        <f>CONCATENATE(VLOOKUP(AG26, 'Voxel Sizes'!$A$2:$B$18,2,FALSE),"x",INT(AC26*15), "x", INT(AD26*15))</f>
        <v>82x0x0</v>
      </c>
      <c r="AG26">
        <f>ROUND(15*((AB26*10)/256),0)</f>
        <v>5</v>
      </c>
      <c r="AI26" t="str">
        <f>CONCATENATE(VLOOKUP(AG26,Constants!$A$2:$C$16,IF(AH26&lt;&gt;"", 3, 2), FALSE),IF(AH26&lt;&gt;"",CONCATENATE(",",VLOOKUP(AH26,$B:$AI,34,FALSE)),""))</f>
        <v>2,1,2</v>
      </c>
      <c r="AP26">
        <v>40</v>
      </c>
      <c r="AQ26">
        <f>IF(I26&lt;&gt;"",MAX(8,(I26-G26)-4),"")</f>
        <v>30</v>
      </c>
      <c r="AT26">
        <f>MIN(Y26/150, 1)*30</f>
        <v>12</v>
      </c>
      <c r="AU26">
        <f>MIN(K26/4000, 1)*20</f>
        <v>0</v>
      </c>
      <c r="AV26">
        <f>MIN(W26/400,1)*20</f>
        <v>0</v>
      </c>
      <c r="AW26" s="4">
        <v>1</v>
      </c>
      <c r="AX26">
        <f>((MAX($J26,1)*MIN($AE26/300,1)))*IF(D26="Wagon",50,10)</f>
        <v>4.5</v>
      </c>
      <c r="AY26">
        <f>VLOOKUP($E26,Constants!$I:$K, 2, FALSE)</f>
        <v>1</v>
      </c>
      <c r="AZ26">
        <f>VLOOKUP($E26,Constants!$I:$K, 3, FALSE)*IF(AND(D26="multiple_unit",Y26&lt;110),0.75,1)</f>
        <v>0.45</v>
      </c>
      <c r="BA26">
        <f>INT(POWER(((Constants!$G$2+$AT26+$AU26+$AV26+$AX26)*$AW26)*$AZ26, 1.05))+$AS26</f>
        <v>10</v>
      </c>
      <c r="BB26">
        <f>INT(((Constants!$G$1+$AT26+$AU26+$AV26+$AX26)*(1/$AW26))*$AY26)+$AR26</f>
        <v>51</v>
      </c>
      <c r="BD26">
        <f>INT(Y26*1.25)</f>
        <v>75</v>
      </c>
      <c r="BJ26" t="s">
        <v>1110</v>
      </c>
      <c r="BK26" t="s">
        <v>782</v>
      </c>
      <c r="BL26" t="str">
        <f>VLOOKUP(G26,Eras!$A$2:$C$10, 2, TRUE)</f>
        <v>ebr</v>
      </c>
      <c r="BM26" t="s">
        <v>382</v>
      </c>
      <c r="BN26" t="str">
        <f>CONCATENATE(BL26,"_",BM26)</f>
        <v>ebr_Open Wagon</v>
      </c>
      <c r="BO26" t="str">
        <f t="shared" si="0"/>
        <v>{BLACK}Tare speed: {GOLD}{VELOCITY}{}</v>
      </c>
      <c r="BP26" t="str">
        <f t="shared" si="1"/>
        <v/>
      </c>
      <c r="BQ26" t="s">
        <v>789</v>
      </c>
      <c r="BR26" t="str">
        <f t="shared" si="2"/>
        <v/>
      </c>
      <c r="BS26" t="str">
        <f t="shared" si="3"/>
        <v>{BLACK}Tare speed: {GOLD}{VELOCITY}{}{SILVER}BR continued to make steel bodied wagons following LNER designs, gradually altering the body style.</v>
      </c>
    </row>
    <row r="27" spans="1:71" x14ac:dyDescent="0.25">
      <c r="A27" t="s">
        <v>785</v>
      </c>
      <c r="B27" t="s">
        <v>786</v>
      </c>
      <c r="C27">
        <v>28</v>
      </c>
      <c r="D27" t="s">
        <v>323</v>
      </c>
      <c r="E27" t="s">
        <v>323</v>
      </c>
      <c r="F27" t="s">
        <v>316</v>
      </c>
      <c r="G27">
        <v>1971</v>
      </c>
      <c r="I27">
        <v>2018</v>
      </c>
      <c r="T27">
        <v>14</v>
      </c>
      <c r="V27">
        <v>7</v>
      </c>
      <c r="X27" s="4" t="str">
        <f>IF(AND(T27&gt;0,W27&gt;0),(W27/((T27+U27)*10)),"")</f>
        <v/>
      </c>
      <c r="Y27">
        <v>70</v>
      </c>
      <c r="AA27">
        <v>10</v>
      </c>
      <c r="AB27">
        <v>10</v>
      </c>
      <c r="AE27" s="11">
        <v>33</v>
      </c>
      <c r="AF27" t="str">
        <f>CONCATENATE(VLOOKUP(AG27, 'Voxel Sizes'!$A$2:$B$18,2,FALSE),"x",INT(AC27*15), "x", INT(AD27*15))</f>
        <v>102x0x0</v>
      </c>
      <c r="AG27">
        <f>ROUND(15*((AB27*10)/256),0)</f>
        <v>6</v>
      </c>
      <c r="AI27" t="str">
        <f>CONCATENATE(VLOOKUP(AG27,Constants!$A$2:$C$16,IF(AH27&lt;&gt;"", 3, 2), FALSE),IF(AH27&lt;&gt;"",CONCATENATE(",",VLOOKUP(AH27,$B:$AI,34,FALSE)),""))</f>
        <v>2,2,2</v>
      </c>
      <c r="AP27">
        <v>40</v>
      </c>
      <c r="AQ27">
        <f>IF(I27&lt;&gt;"",MAX(8,(I27-G27)-4),"")</f>
        <v>43</v>
      </c>
      <c r="AT27">
        <f>MIN(Y27/150, 1)*30</f>
        <v>14</v>
      </c>
      <c r="AU27">
        <f>MIN(K27/4000, 1)*20</f>
        <v>0</v>
      </c>
      <c r="AV27">
        <f>MIN(W27/400,1)*20</f>
        <v>0</v>
      </c>
      <c r="AW27" s="4">
        <v>1</v>
      </c>
      <c r="AX27">
        <f>((MAX($J27,1)*MIN($AE27/300,1)))*IF(D27="Wagon",50,10)</f>
        <v>5.5</v>
      </c>
      <c r="AY27">
        <f>VLOOKUP($E27,Constants!$I:$K, 2, FALSE)</f>
        <v>1</v>
      </c>
      <c r="AZ27">
        <f>VLOOKUP($E27,Constants!$I:$K, 3, FALSE)*IF(AND(D27="multiple_unit",Y27&lt;110),0.75,1)</f>
        <v>0.45</v>
      </c>
      <c r="BA27">
        <f>INT(POWER(((Constants!$G$2+$AT27+$AU27+$AV27+$AX27)*$AW27)*$AZ27, 1.05))+$AS27</f>
        <v>12</v>
      </c>
      <c r="BB27">
        <f>INT(((Constants!$G$1+$AT27+$AU27+$AV27+$AX27)*(1/$AW27))*$AY27)+$AR27</f>
        <v>54</v>
      </c>
      <c r="BD27">
        <f>INT(Y27*1.25)</f>
        <v>87</v>
      </c>
      <c r="BJ27" t="s">
        <v>1110</v>
      </c>
      <c r="BK27" t="s">
        <v>782</v>
      </c>
      <c r="BL27" t="str">
        <f>VLOOKUP(G27,Eras!$A$2:$C$10, 2, TRUE)</f>
        <v>lbr</v>
      </c>
      <c r="BM27" t="s">
        <v>382</v>
      </c>
      <c r="BN27" t="str">
        <f>CONCATENATE(BL27,"_",BM27)</f>
        <v>lbr_Open Wagon</v>
      </c>
      <c r="BO27" t="str">
        <f t="shared" si="0"/>
        <v>{BLACK}Tare speed: {GOLD}{VELOCITY}{}</v>
      </c>
      <c r="BP27" t="str">
        <f t="shared" si="1"/>
        <v/>
      </c>
      <c r="BQ27" t="s">
        <v>790</v>
      </c>
      <c r="BR27" t="str">
        <f t="shared" si="2"/>
        <v/>
      </c>
      <c r="BS27" t="str">
        <f t="shared" si="3"/>
        <v>{BLACK}Tare speed: {GOLD}{VELOCITY}{}{SILVER}The OAA/OBA wagons were BR's first air braked open wagons, later forming part of the Speedlink network. They featured steel end frames with wooden drop sides.</v>
      </c>
    </row>
    <row r="28" spans="1:71" x14ac:dyDescent="0.25">
      <c r="A28" t="s">
        <v>791</v>
      </c>
      <c r="B28" t="s">
        <v>793</v>
      </c>
      <c r="C28">
        <v>30</v>
      </c>
      <c r="D28" t="s">
        <v>323</v>
      </c>
      <c r="E28" t="s">
        <v>323</v>
      </c>
      <c r="F28" t="s">
        <v>316</v>
      </c>
      <c r="G28">
        <v>1989</v>
      </c>
      <c r="T28">
        <v>12</v>
      </c>
      <c r="V28">
        <v>7</v>
      </c>
      <c r="X28" s="4" t="str">
        <f>IF(AND(T28&gt;0,W28&gt;0),(W28/((T28+U28)*10)),"")</f>
        <v/>
      </c>
      <c r="Y28">
        <v>80</v>
      </c>
      <c r="AA28">
        <v>10</v>
      </c>
      <c r="AB28">
        <v>10</v>
      </c>
      <c r="AE28" s="11">
        <v>45</v>
      </c>
      <c r="AF28" t="str">
        <f>CONCATENATE(VLOOKUP(AG28, 'Voxel Sizes'!$A$2:$B$18,2,FALSE),"x",INT(AC28*15), "x", INT(AD28*15))</f>
        <v>102x0x0</v>
      </c>
      <c r="AG28">
        <f>ROUND(15*((AB28*10)/256),0)</f>
        <v>6</v>
      </c>
      <c r="AI28" t="str">
        <f>CONCATENATE(VLOOKUP(AG28,Constants!$A$2:$C$16,IF(AH28&lt;&gt;"", 3, 2), FALSE),IF(AH28&lt;&gt;"",CONCATENATE(",",VLOOKUP(AH28,$B:$AI,34,FALSE)),""))</f>
        <v>2,2,2</v>
      </c>
      <c r="AP28">
        <v>40</v>
      </c>
      <c r="AQ28" t="str">
        <f>IF(I28&lt;&gt;"",MAX(8,(I28-G28)-4),"")</f>
        <v/>
      </c>
      <c r="AT28">
        <f>MIN(Y28/150, 1)*30</f>
        <v>16</v>
      </c>
      <c r="AU28">
        <f>MIN(K28/4000, 1)*20</f>
        <v>0</v>
      </c>
      <c r="AV28">
        <f>MIN(W28/400,1)*20</f>
        <v>0</v>
      </c>
      <c r="AW28" s="4">
        <v>1</v>
      </c>
      <c r="AX28">
        <f>((MAX($J28,1)*MIN($AE28/300,1)))*IF(D28="Wagon",50,10)</f>
        <v>7.5</v>
      </c>
      <c r="AY28">
        <f>VLOOKUP($E28,Constants!$I:$K, 2, FALSE)</f>
        <v>1</v>
      </c>
      <c r="AZ28">
        <f>VLOOKUP($E28,Constants!$I:$K, 3, FALSE)*IF(AND(D28="multiple_unit",Y28&lt;110),0.75,1)</f>
        <v>0.45</v>
      </c>
      <c r="BA28">
        <f>INT(POWER(((Constants!$G$2+$AT28+$AU28+$AV28+$AX28)*$AW28)*$AZ28, 1.05))+$AS28</f>
        <v>14</v>
      </c>
      <c r="BB28">
        <f>INT(((Constants!$G$1+$AT28+$AU28+$AV28+$AX28)*(1/$AW28))*$AY28)+$AR28</f>
        <v>58</v>
      </c>
      <c r="BD28">
        <f>INT(Y28*1.25)</f>
        <v>100</v>
      </c>
      <c r="BJ28" t="s">
        <v>1110</v>
      </c>
      <c r="BK28" t="s">
        <v>782</v>
      </c>
      <c r="BL28" t="str">
        <f>VLOOKUP(G28,Eras!$A$2:$C$10, 2, TRUE)</f>
        <v>lbr</v>
      </c>
      <c r="BM28" t="s">
        <v>382</v>
      </c>
      <c r="BN28" t="str">
        <f>CONCATENATE(BL28,"_",BM28)</f>
        <v>lbr_Open Wagon</v>
      </c>
      <c r="BO28" t="str">
        <f t="shared" si="0"/>
        <v>{BLACK}Tare speed: {GOLD}{VELOCITY}{}</v>
      </c>
      <c r="BP28" t="str">
        <f t="shared" si="1"/>
        <v/>
      </c>
      <c r="BQ28" t="s">
        <v>794</v>
      </c>
      <c r="BR28" t="str">
        <f t="shared" si="2"/>
        <v/>
      </c>
      <c r="BS28" t="str">
        <f t="shared" si="3"/>
        <v>{BLACK}Tare speed: {GOLD}{VELOCITY}{}{SILVER}MEA wagons used frames from old hopper wagons combined with a new box body.</v>
      </c>
    </row>
    <row r="29" spans="1:71" x14ac:dyDescent="0.25">
      <c r="A29" t="s">
        <v>792</v>
      </c>
      <c r="B29" t="s">
        <v>243</v>
      </c>
      <c r="C29">
        <v>32</v>
      </c>
      <c r="D29" t="s">
        <v>323</v>
      </c>
      <c r="E29" t="s">
        <v>323</v>
      </c>
      <c r="F29" t="s">
        <v>316</v>
      </c>
      <c r="G29">
        <v>2015</v>
      </c>
      <c r="T29">
        <v>24</v>
      </c>
      <c r="V29">
        <v>9</v>
      </c>
      <c r="X29" s="4" t="str">
        <f>IF(AND(T29&gt;0,W29&gt;0),(W29/((T29+U29)*10)),"")</f>
        <v/>
      </c>
      <c r="Y29">
        <v>80</v>
      </c>
      <c r="AA29">
        <v>17</v>
      </c>
      <c r="AB29">
        <v>17</v>
      </c>
      <c r="AE29" s="11">
        <v>78</v>
      </c>
      <c r="AF29" t="str">
        <f>CONCATENATE(VLOOKUP(AG29, 'Voxel Sizes'!$A$2:$B$18,2,FALSE),"x",INT(AC29*15), "x", INT(AD29*15))</f>
        <v>164x0x0</v>
      </c>
      <c r="AG29">
        <f>ROUND(15*((AB29*10)/256),0)</f>
        <v>10</v>
      </c>
      <c r="AI29" t="str">
        <f>CONCATENATE(VLOOKUP(AG29,Constants!$A$2:$C$16,IF(AH29&lt;&gt;"", 3, 2), FALSE),IF(AH29&lt;&gt;"",CONCATENATE(",",VLOOKUP(AH29,$B:$AI,34,FALSE)),""))</f>
        <v>4,2,4</v>
      </c>
      <c r="AP29">
        <v>40</v>
      </c>
      <c r="AQ29" t="str">
        <f>IF(I29&lt;&gt;"",MAX(8,(I29-G29)-4),"")</f>
        <v/>
      </c>
      <c r="AT29">
        <f>MIN(Y29/150, 1)*30</f>
        <v>16</v>
      </c>
      <c r="AU29">
        <f>MIN(K29/4000, 1)*20</f>
        <v>0</v>
      </c>
      <c r="AV29">
        <f>MIN(W29/400,1)*20</f>
        <v>0</v>
      </c>
      <c r="AW29" s="4">
        <v>1</v>
      </c>
      <c r="AX29">
        <f>((MAX($J29,1)*MIN($AE29/300,1)))*IF(D29="Wagon",50,10)</f>
        <v>13</v>
      </c>
      <c r="AY29">
        <f>VLOOKUP($E29,Constants!$I:$K, 2, FALSE)</f>
        <v>1</v>
      </c>
      <c r="AZ29">
        <f>VLOOKUP($E29,Constants!$I:$K, 3, FALSE)*IF(AND(D29="multiple_unit",Y29&lt;110),0.75,1)</f>
        <v>0.45</v>
      </c>
      <c r="BA29">
        <f>INT(POWER(((Constants!$G$2+$AT29+$AU29+$AV29+$AX29)*$AW29)*$AZ29, 1.05))+$AS29</f>
        <v>17</v>
      </c>
      <c r="BB29">
        <f>INT(((Constants!$G$1+$AT29+$AU29+$AV29+$AX29)*(1/$AW29))*$AY29)+$AR29</f>
        <v>64</v>
      </c>
      <c r="BD29">
        <f>INT(Y29*1.25)</f>
        <v>100</v>
      </c>
      <c r="BJ29" t="s">
        <v>1110</v>
      </c>
      <c r="BK29" t="s">
        <v>782</v>
      </c>
      <c r="BL29" t="str">
        <f>VLOOKUP(G29,Eras!$A$2:$C$10, 2, TRUE)</f>
        <v>mod</v>
      </c>
      <c r="BM29" t="s">
        <v>382</v>
      </c>
      <c r="BN29" t="str">
        <f>CONCATENATE(BL29,"_",BM29)</f>
        <v>mod_Open Wagon</v>
      </c>
      <c r="BO29" t="str">
        <f t="shared" si="0"/>
        <v>{BLACK}Tare speed: {GOLD}{VELOCITY}{}</v>
      </c>
      <c r="BP29" t="str">
        <f t="shared" si="1"/>
        <v/>
      </c>
      <c r="BQ29" t="s">
        <v>795</v>
      </c>
      <c r="BR29" t="str">
        <f t="shared" si="2"/>
        <v/>
      </c>
      <c r="BS29" t="str">
        <f t="shared" si="3"/>
        <v>{BLACK}Tare speed: {GOLD}{VELOCITY}{}{SILVER}The MWA is another wagon rebuilt using new bodies on an old frame, resulting in a high capacity bogie open wagon.</v>
      </c>
    </row>
    <row r="30" spans="1:71" x14ac:dyDescent="0.25">
      <c r="A30" t="s">
        <v>797</v>
      </c>
      <c r="B30" t="s">
        <v>799</v>
      </c>
      <c r="C30">
        <v>40</v>
      </c>
      <c r="D30" t="s">
        <v>323</v>
      </c>
      <c r="E30" t="s">
        <v>323</v>
      </c>
      <c r="F30" t="s">
        <v>316</v>
      </c>
      <c r="G30">
        <v>1968</v>
      </c>
      <c r="I30">
        <v>2010</v>
      </c>
      <c r="T30">
        <v>17</v>
      </c>
      <c r="V30">
        <v>11</v>
      </c>
      <c r="X30" s="4" t="str">
        <f>IF(AND(T30&gt;0,W30&gt;0),(W30/((T30+U30)*10)),"")</f>
        <v/>
      </c>
      <c r="Y30">
        <v>60</v>
      </c>
      <c r="AA30">
        <v>10</v>
      </c>
      <c r="AB30">
        <v>10</v>
      </c>
      <c r="AE30" s="11">
        <v>45</v>
      </c>
      <c r="AF30" t="str">
        <f>CONCATENATE(VLOOKUP(AG30, 'Voxel Sizes'!$A$2:$B$18,2,FALSE),"x",INT(AC30*15), "x", INT(AD30*15))</f>
        <v>102x0x0</v>
      </c>
      <c r="AG30">
        <f>ROUND(15*((AB30*10)/256),0)</f>
        <v>6</v>
      </c>
      <c r="AI30" t="str">
        <f>CONCATENATE(VLOOKUP(AG30,Constants!$A$2:$C$16,IF(AH30&lt;&gt;"", 3, 2), FALSE),IF(AH30&lt;&gt;"",CONCATENATE(",",VLOOKUP(AH30,$B:$AI,34,FALSE)),""))</f>
        <v>2,2,2</v>
      </c>
      <c r="AP30">
        <v>40</v>
      </c>
      <c r="AQ30">
        <f>IF(I30&lt;&gt;"",MAX(8,(I30-G30)-4),"")</f>
        <v>38</v>
      </c>
      <c r="AT30">
        <f>MIN(Y30/150, 1)*30</f>
        <v>12</v>
      </c>
      <c r="AU30">
        <f>MIN(K30/4000, 1)*20</f>
        <v>0</v>
      </c>
      <c r="AV30">
        <f>MIN(W30/400,1)*20</f>
        <v>0</v>
      </c>
      <c r="AW30" s="4">
        <v>1</v>
      </c>
      <c r="AX30">
        <f>((MAX($J30,1)*MIN($AE30/300,1)))*IF(D30="Wagon",50,10)</f>
        <v>7.5</v>
      </c>
      <c r="AY30">
        <f>VLOOKUP($E30,Constants!$I:$K, 2, FALSE)</f>
        <v>1</v>
      </c>
      <c r="AZ30">
        <f>VLOOKUP($E30,Constants!$I:$K, 3, FALSE)*IF(AND(D30="multiple_unit",Y30&lt;110),0.75,1)</f>
        <v>0.45</v>
      </c>
      <c r="BA30">
        <f>INT(POWER(((Constants!$G$2+$AT30+$AU30+$AV30+$AX30)*$AW30)*$AZ30, 1.05))+$AS30</f>
        <v>12</v>
      </c>
      <c r="BB30">
        <f>INT(((Constants!$G$1+$AT30+$AU30+$AV30+$AX30)*(1/$AW30))*$AY30)+$AR30</f>
        <v>54</v>
      </c>
      <c r="BD30">
        <f>INT(Y30*1.25)</f>
        <v>75</v>
      </c>
      <c r="BJ30" t="s">
        <v>1110</v>
      </c>
      <c r="BK30" t="s">
        <v>782</v>
      </c>
      <c r="BL30" t="str">
        <f>VLOOKUP(G30,Eras!$A$2:$C$10, 2, TRUE)</f>
        <v>dsl</v>
      </c>
      <c r="BM30" t="s">
        <v>382</v>
      </c>
      <c r="BN30" t="str">
        <f>CONCATENATE(BL30,"_",BM30)</f>
        <v>dsl_Open Wagon</v>
      </c>
      <c r="BO30" t="str">
        <f t="shared" si="0"/>
        <v>{BLACK}Tare speed: {GOLD}{VELOCITY}{}</v>
      </c>
      <c r="BP30" t="str">
        <f t="shared" si="1"/>
        <v/>
      </c>
      <c r="BQ30" t="s">
        <v>800</v>
      </c>
      <c r="BR30" t="str">
        <f t="shared" si="2"/>
        <v/>
      </c>
      <c r="BS30" t="str">
        <f t="shared" si="3"/>
        <v>{BLACK}Tare speed: {GOLD}{VELOCITY}{}{SILVER}MGR "merry-go-round" hoppers enabled coal trains to load and unload without stopping, emptying coal into discharge hoppers underneath the wagons. In OpenTTD this is represented by faster loading speeds.</v>
      </c>
    </row>
    <row r="31" spans="1:71" x14ac:dyDescent="0.25">
      <c r="A31" t="s">
        <v>798</v>
      </c>
      <c r="B31" t="s">
        <v>244</v>
      </c>
      <c r="C31">
        <v>41</v>
      </c>
      <c r="D31" t="s">
        <v>323</v>
      </c>
      <c r="E31" t="s">
        <v>323</v>
      </c>
      <c r="F31" t="s">
        <v>316</v>
      </c>
      <c r="G31">
        <v>2000</v>
      </c>
      <c r="T31">
        <v>24</v>
      </c>
      <c r="V31">
        <v>11</v>
      </c>
      <c r="X31" s="4" t="str">
        <f>IF(AND(T31&gt;0,W31&gt;0),(W31/((T31+U31)*10)),"")</f>
        <v/>
      </c>
      <c r="Y31">
        <v>80</v>
      </c>
      <c r="AA31">
        <v>19.7</v>
      </c>
      <c r="AB31">
        <v>19.399999999999999</v>
      </c>
      <c r="AE31" s="11">
        <v>78</v>
      </c>
      <c r="AF31" t="str">
        <f>CONCATENATE(VLOOKUP(AG31, 'Voxel Sizes'!$A$2:$B$18,2,FALSE),"x",INT(AC31*15), "x", INT(AD31*15))</f>
        <v>186x0x0</v>
      </c>
      <c r="AG31">
        <f>ROUND(15*((AB31*10)/256),0)</f>
        <v>11</v>
      </c>
      <c r="AI31" t="str">
        <f>CONCATENATE(VLOOKUP(AG31,Constants!$A$2:$C$16,IF(AH31&lt;&gt;"", 3, 2), FALSE),IF(AH31&lt;&gt;"",CONCATENATE(",",VLOOKUP(AH31,$B:$AI,34,FALSE)),""))</f>
        <v>4,3,4</v>
      </c>
      <c r="AP31">
        <v>40</v>
      </c>
      <c r="AQ31" t="str">
        <f>IF(I31&lt;&gt;"",MAX(8,(I31-G31)-4),"")</f>
        <v/>
      </c>
      <c r="AT31">
        <f>MIN(Y31/150, 1)*30</f>
        <v>16</v>
      </c>
      <c r="AU31">
        <f>MIN(K31/4000, 1)*20</f>
        <v>0</v>
      </c>
      <c r="AV31">
        <f>MIN(W31/400,1)*20</f>
        <v>0</v>
      </c>
      <c r="AW31" s="4">
        <v>1</v>
      </c>
      <c r="AX31">
        <f>((MAX($J31,1)*MIN($AE31/300,1)))*IF(D31="Wagon",50,10)</f>
        <v>13</v>
      </c>
      <c r="AY31">
        <f>VLOOKUP($E31,Constants!$I:$K, 2, FALSE)</f>
        <v>1</v>
      </c>
      <c r="AZ31">
        <f>VLOOKUP($E31,Constants!$I:$K, 3, FALSE)*IF(AND(D31="multiple_unit",Y31&lt;110),0.75,1)</f>
        <v>0.45</v>
      </c>
      <c r="BA31">
        <f>INT(POWER(((Constants!$G$2+$AT31+$AU31+$AV31+$AX31)*$AW31)*$AZ31, 1.05))+$AS31</f>
        <v>17</v>
      </c>
      <c r="BB31">
        <f>INT(((Constants!$G$1+$AT31+$AU31+$AV31+$AX31)*(1/$AW31))*$AY31)+$AR31</f>
        <v>64</v>
      </c>
      <c r="BD31">
        <f>INT(Y31*1.25)</f>
        <v>100</v>
      </c>
      <c r="BJ31" t="s">
        <v>1110</v>
      </c>
      <c r="BK31" t="s">
        <v>782</v>
      </c>
      <c r="BL31" t="str">
        <f>VLOOKUP(G31,Eras!$A$2:$C$10, 2, TRUE)</f>
        <v>prv</v>
      </c>
      <c r="BM31" t="s">
        <v>382</v>
      </c>
      <c r="BN31" t="str">
        <f>CONCATENATE(BL31,"_",BM31)</f>
        <v>prv_Open Wagon</v>
      </c>
      <c r="BO31" t="str">
        <f t="shared" si="0"/>
        <v>{BLACK}Tare speed: {GOLD}{VELOCITY}{}</v>
      </c>
      <c r="BP31" t="str">
        <f t="shared" si="1"/>
        <v/>
      </c>
      <c r="BQ31" t="s">
        <v>796</v>
      </c>
      <c r="BR31" t="str">
        <f t="shared" si="2"/>
        <v/>
      </c>
      <c r="BS31" t="str">
        <f t="shared" si="3"/>
        <v>{BLACK}Tare speed: {GOLD}{VELOCITY}{}{SILVER}The HHA is a large self-discharging hopper built for Freightliner to use on coal trains.</v>
      </c>
    </row>
    <row r="32" spans="1:71" x14ac:dyDescent="0.25">
      <c r="A32" t="s">
        <v>863</v>
      </c>
      <c r="B32" t="s">
        <v>864</v>
      </c>
      <c r="C32">
        <v>50</v>
      </c>
      <c r="D32" t="s">
        <v>323</v>
      </c>
      <c r="E32" t="s">
        <v>323</v>
      </c>
      <c r="F32" t="s">
        <v>316</v>
      </c>
      <c r="G32">
        <v>1930</v>
      </c>
      <c r="I32">
        <v>1970</v>
      </c>
      <c r="T32">
        <v>7</v>
      </c>
      <c r="V32">
        <v>18</v>
      </c>
      <c r="X32" s="4" t="str">
        <f>IF(AND(T32&gt;0,W32&gt;0),(W32/((T32+U32)*10)),"")</f>
        <v/>
      </c>
      <c r="Y32">
        <v>60</v>
      </c>
      <c r="AA32">
        <v>8</v>
      </c>
      <c r="AB32">
        <v>8</v>
      </c>
      <c r="AE32" s="11">
        <v>27</v>
      </c>
      <c r="AF32" t="str">
        <f>CONCATENATE(VLOOKUP(AG32, 'Voxel Sizes'!$A$2:$B$18,2,FALSE),"x",INT(AC32*15), "x", INT(AD32*15))</f>
        <v>82x0x0</v>
      </c>
      <c r="AG32">
        <f>ROUND(15*((AB32*10)/256),0)</f>
        <v>5</v>
      </c>
      <c r="AI32" t="str">
        <f>CONCATENATE(VLOOKUP(AG32,Constants!$A$2:$C$16,IF(AH32&lt;&gt;"", 3, 2), FALSE),IF(AH32&lt;&gt;"",CONCATENATE(",",VLOOKUP(AH32,$B:$AI,34,FALSE)),""))</f>
        <v>2,1,2</v>
      </c>
      <c r="AP32">
        <v>40</v>
      </c>
      <c r="AQ32">
        <f>IF(I32&lt;&gt;"",MAX(8,(I32-G32)-4),"")</f>
        <v>36</v>
      </c>
      <c r="AT32">
        <f>MIN(Y32/150, 1)*30</f>
        <v>12</v>
      </c>
      <c r="AU32">
        <f>MIN(K32/4000, 1)*20</f>
        <v>0</v>
      </c>
      <c r="AV32">
        <f>MIN(W32/400,1)*20</f>
        <v>0</v>
      </c>
      <c r="AW32" s="4">
        <v>1</v>
      </c>
      <c r="AX32">
        <f>((MAX($J32,1)*MIN($AE32/300,1)))*IF(D32="Wagon",50,10)</f>
        <v>4.5</v>
      </c>
      <c r="AY32">
        <f>VLOOKUP($E32,Constants!$I:$K, 2, FALSE)</f>
        <v>1</v>
      </c>
      <c r="AZ32">
        <f>VLOOKUP($E32,Constants!$I:$K, 3, FALSE)*IF(AND(D32="multiple_unit",Y32&lt;110),0.75,1)</f>
        <v>0.45</v>
      </c>
      <c r="BA32">
        <f>INT(POWER(((Constants!$G$2+$AT32+$AU32+$AV32+$AX32)*$AW32)*$AZ32, 1.05))+$AS32</f>
        <v>10</v>
      </c>
      <c r="BB32">
        <f>INT(((Constants!$G$1+$AT32+$AU32+$AV32+$AX32)*(1/$AW32))*$AY32)+$AR32</f>
        <v>51</v>
      </c>
      <c r="BD32">
        <f>INT(Y32*1.25)</f>
        <v>75</v>
      </c>
      <c r="BJ32" t="s">
        <v>1113</v>
      </c>
      <c r="BK32" t="s">
        <v>328</v>
      </c>
      <c r="BL32" t="str">
        <f>VLOOKUP(G32,Eras!$A$2:$C$10, 2, TRUE)</f>
        <v>big4</v>
      </c>
      <c r="BM32" t="s">
        <v>761</v>
      </c>
      <c r="BN32" t="str">
        <f>CONCATENATE(BL32,"_",BM32)</f>
        <v>big4_Extra</v>
      </c>
      <c r="BO32" t="str">
        <f t="shared" si="0"/>
        <v>{BLACK}Tare speed: {GOLD}{VELOCITY}{}</v>
      </c>
      <c r="BP32" t="str">
        <f t="shared" si="1"/>
        <v/>
      </c>
      <c r="BQ32" t="s">
        <v>865</v>
      </c>
      <c r="BR32" t="str">
        <f t="shared" si="2"/>
        <v/>
      </c>
      <c r="BS32" t="str">
        <f t="shared" si="3"/>
        <v>{BLACK}Tare speed: {GOLD}{VELOCITY}{}{SILVER}Conflats were built to carry containers, meaning goods could be loaded seperately and then the whole container placed on the train in one operation.</v>
      </c>
    </row>
    <row r="33" spans="1:71" x14ac:dyDescent="0.25">
      <c r="A33" t="s">
        <v>832</v>
      </c>
      <c r="B33" t="s">
        <v>833</v>
      </c>
      <c r="C33">
        <v>52</v>
      </c>
      <c r="D33" t="s">
        <v>323</v>
      </c>
      <c r="E33" t="s">
        <v>323</v>
      </c>
      <c r="F33" t="s">
        <v>316</v>
      </c>
      <c r="G33">
        <v>1964</v>
      </c>
      <c r="I33">
        <v>1995</v>
      </c>
      <c r="T33">
        <v>17</v>
      </c>
      <c r="V33">
        <v>18</v>
      </c>
      <c r="X33" s="4" t="str">
        <f>IF(AND(T33&gt;0,W33&gt;0),(W33/((T33+U33)*10)),"")</f>
        <v/>
      </c>
      <c r="Y33">
        <v>70</v>
      </c>
      <c r="AA33">
        <v>19.3</v>
      </c>
      <c r="AB33">
        <v>19.3</v>
      </c>
      <c r="AE33" s="11">
        <v>60</v>
      </c>
      <c r="AF33" t="str">
        <f>CONCATENATE(VLOOKUP(AG33, 'Voxel Sizes'!$A$2:$B$18,2,FALSE),"x",INT(AC33*15), "x", INT(AD33*15))</f>
        <v>186x0x0</v>
      </c>
      <c r="AG33">
        <f>ROUND(15*((AB33*10)/256),0)</f>
        <v>11</v>
      </c>
      <c r="AI33" t="str">
        <f>CONCATENATE(VLOOKUP(AG33,Constants!$A$2:$C$16,IF(AH33&lt;&gt;"", 3, 2), FALSE),IF(AH33&lt;&gt;"",CONCATENATE(",",VLOOKUP(AH33,$B:$AI,34,FALSE)),""))</f>
        <v>4,3,4</v>
      </c>
      <c r="AP33">
        <v>40</v>
      </c>
      <c r="AQ33">
        <f>IF(I33&lt;&gt;"",MAX(8,(I33-G33)-4),"")</f>
        <v>27</v>
      </c>
      <c r="AT33">
        <f>MIN(Y33/150, 1)*30</f>
        <v>14</v>
      </c>
      <c r="AU33">
        <f>MIN(K33/4000, 1)*20</f>
        <v>0</v>
      </c>
      <c r="AV33">
        <f>MIN(W33/400,1)*20</f>
        <v>0</v>
      </c>
      <c r="AW33" s="4">
        <v>1</v>
      </c>
      <c r="AX33">
        <f>((MAX($J33,1)*MIN($AE33/300,1)))*IF(D33="Wagon",50,10)</f>
        <v>10</v>
      </c>
      <c r="AY33">
        <f>VLOOKUP($E33,Constants!$I:$K, 2, FALSE)</f>
        <v>1</v>
      </c>
      <c r="AZ33">
        <f>VLOOKUP($E33,Constants!$I:$K, 3, FALSE)*IF(AND(D33="multiple_unit",Y33&lt;110),0.75,1)</f>
        <v>0.45</v>
      </c>
      <c r="BA33">
        <f>INT(POWER(((Constants!$G$2+$AT33+$AU33+$AV33+$AX33)*$AW33)*$AZ33, 1.05))+$AS33</f>
        <v>14</v>
      </c>
      <c r="BB33">
        <f>INT(((Constants!$G$1+$AT33+$AU33+$AV33+$AX33)*(1/$AW33))*$AY33)+$AR33</f>
        <v>59</v>
      </c>
      <c r="BD33">
        <f>INT(Y33*1.25)</f>
        <v>87</v>
      </c>
      <c r="BJ33" t="s">
        <v>1113</v>
      </c>
      <c r="BK33" t="s">
        <v>328</v>
      </c>
      <c r="BL33" t="str">
        <f>VLOOKUP(G33,Eras!$A$2:$C$10, 2, TRUE)</f>
        <v>dsl</v>
      </c>
      <c r="BM33" t="s">
        <v>761</v>
      </c>
      <c r="BN33" t="str">
        <f>CONCATENATE(BL33,"_",BM33)</f>
        <v>dsl_Extra</v>
      </c>
      <c r="BO33" t="str">
        <f t="shared" si="0"/>
        <v>{BLACK}Tare speed: {GOLD}{VELOCITY}{}</v>
      </c>
      <c r="BP33" t="str">
        <f t="shared" si="1"/>
        <v/>
      </c>
      <c r="BQ33" t="s">
        <v>866</v>
      </c>
      <c r="BR33" t="str">
        <f t="shared" si="2"/>
        <v/>
      </c>
      <c r="BS33" t="str">
        <f t="shared" si="3"/>
        <v>{BLACK}Tare speed: {GOLD}{VELOCITY}{}{SILVER}The FFA container wagons were a major advance over short-wheelbase conflats when built, and being easily adapted to the then-new ISO container standard only increased this advantage.</v>
      </c>
    </row>
    <row r="34" spans="1:71" x14ac:dyDescent="0.25">
      <c r="A34" t="s">
        <v>834</v>
      </c>
      <c r="B34" t="s">
        <v>835</v>
      </c>
      <c r="C34">
        <v>54</v>
      </c>
      <c r="D34" t="s">
        <v>323</v>
      </c>
      <c r="E34" t="s">
        <v>323</v>
      </c>
      <c r="F34" t="s">
        <v>316</v>
      </c>
      <c r="G34">
        <v>1991</v>
      </c>
      <c r="T34">
        <v>17</v>
      </c>
      <c r="V34">
        <v>18</v>
      </c>
      <c r="X34" s="4" t="str">
        <f>IF(AND(T34&gt;0,W34&gt;0),(W34/((T34+U34)*10)),"")</f>
        <v/>
      </c>
      <c r="Y34">
        <v>90</v>
      </c>
      <c r="AA34">
        <v>19.3</v>
      </c>
      <c r="AB34">
        <v>19.3</v>
      </c>
      <c r="AE34" s="11">
        <v>60</v>
      </c>
      <c r="AF34" t="str">
        <f>CONCATENATE(VLOOKUP(AG34, 'Voxel Sizes'!$A$2:$B$18,2,FALSE),"x",INT(AC34*15), "x", INT(AD34*15))</f>
        <v>186x0x0</v>
      </c>
      <c r="AG34">
        <f>ROUND(15*((AB34*10)/256),0)</f>
        <v>11</v>
      </c>
      <c r="AI34" t="str">
        <f>CONCATENATE(VLOOKUP(AG34,Constants!$A$2:$C$16,IF(AH34&lt;&gt;"", 3, 2), FALSE),IF(AH34&lt;&gt;"",CONCATENATE(",",VLOOKUP(AH34,$B:$AI,34,FALSE)),""))</f>
        <v>4,3,4</v>
      </c>
      <c r="AP34">
        <v>40</v>
      </c>
      <c r="AQ34" t="str">
        <f>IF(I34&lt;&gt;"",MAX(8,(I34-G34)-4),"")</f>
        <v/>
      </c>
      <c r="AT34">
        <f>MIN(Y34/150, 1)*30</f>
        <v>18</v>
      </c>
      <c r="AU34">
        <f>MIN(K34/4000, 1)*20</f>
        <v>0</v>
      </c>
      <c r="AV34">
        <f>MIN(W34/400,1)*20</f>
        <v>0</v>
      </c>
      <c r="AW34" s="4">
        <v>1</v>
      </c>
      <c r="AX34">
        <f>((MAX($J34,1)*MIN($AE34/300,1)))*IF(D34="Wagon",50,10)</f>
        <v>10</v>
      </c>
      <c r="AY34">
        <f>VLOOKUP($E34,Constants!$I:$K, 2, FALSE)</f>
        <v>1</v>
      </c>
      <c r="AZ34">
        <f>VLOOKUP($E34,Constants!$I:$K, 3, FALSE)*IF(AND(D34="multiple_unit",Y34&lt;110),0.75,1)</f>
        <v>0.45</v>
      </c>
      <c r="BA34">
        <f>INT(POWER(((Constants!$G$2+$AT34+$AU34+$AV34+$AX34)*$AW34)*$AZ34, 1.05))+$AS34</f>
        <v>16</v>
      </c>
      <c r="BB34">
        <f>INT(((Constants!$G$1+$AT34+$AU34+$AV34+$AX34)*(1/$AW34))*$AY34)+$AR34</f>
        <v>63</v>
      </c>
      <c r="BD34">
        <f>INT(Y34*1.25)</f>
        <v>112</v>
      </c>
      <c r="BJ34" t="s">
        <v>1113</v>
      </c>
      <c r="BK34" t="s">
        <v>328</v>
      </c>
      <c r="BL34" t="str">
        <f>VLOOKUP(G34,Eras!$A$2:$C$10, 2, TRUE)</f>
        <v>lbr</v>
      </c>
      <c r="BM34" t="s">
        <v>761</v>
      </c>
      <c r="BN34" t="str">
        <f>CONCATENATE(BL34,"_",BM34)</f>
        <v>lbr_Extra</v>
      </c>
      <c r="BO34" t="str">
        <f t="shared" si="0"/>
        <v>{BLACK}Tare speed: {GOLD}{VELOCITY}{}</v>
      </c>
      <c r="BP34" t="str">
        <f t="shared" si="1"/>
        <v/>
      </c>
      <c r="BQ34" t="s">
        <v>867</v>
      </c>
      <c r="BR34" t="str">
        <f t="shared" si="2"/>
        <v/>
      </c>
      <c r="BS34" t="str">
        <f t="shared" si="3"/>
        <v>{BLACK}Tare speed: {GOLD}{VELOCITY}{}{SILVER}Freightliner had considered replacing the FFA wagons with a shorter 40ft container flat, but the poor running quality of fixed axle wagons resulted in the choice of another standard bogie flat.</v>
      </c>
    </row>
    <row r="35" spans="1:71" x14ac:dyDescent="0.25">
      <c r="A35" t="s">
        <v>868</v>
      </c>
      <c r="B35" t="s">
        <v>869</v>
      </c>
      <c r="C35">
        <v>56</v>
      </c>
      <c r="D35" t="s">
        <v>323</v>
      </c>
      <c r="E35" t="s">
        <v>323</v>
      </c>
      <c r="F35" t="s">
        <v>316</v>
      </c>
      <c r="G35">
        <v>1997</v>
      </c>
      <c r="T35">
        <v>23</v>
      </c>
      <c r="V35">
        <v>18</v>
      </c>
      <c r="X35" s="4" t="str">
        <f>IF(AND(T35&gt;0,W35&gt;0),(W35/((T35+U35)*10)),"")</f>
        <v/>
      </c>
      <c r="Y35">
        <v>90</v>
      </c>
      <c r="AA35">
        <v>19.3</v>
      </c>
      <c r="AB35">
        <v>19.3</v>
      </c>
      <c r="AE35" s="11">
        <v>51</v>
      </c>
      <c r="AF35" t="str">
        <f>CONCATENATE(VLOOKUP(AG35, 'Voxel Sizes'!$A$2:$B$18,2,FALSE),"x",INT(AC35*15), "x", INT(AD35*15))</f>
        <v>186x0x0</v>
      </c>
      <c r="AG35">
        <f>ROUND(15*((AB35*10)/256),0)</f>
        <v>11</v>
      </c>
      <c r="AI35" t="str">
        <f>CONCATENATE(VLOOKUP(AG35,Constants!$A$2:$C$16,IF(AH35&lt;&gt;"", 3, 2), FALSE),IF(AH35&lt;&gt;"",CONCATENATE(",",VLOOKUP(AH35,$B:$AI,34,FALSE)),""))</f>
        <v>4,3,4</v>
      </c>
      <c r="AP35">
        <v>40</v>
      </c>
      <c r="AQ35" t="str">
        <f>IF(I35&lt;&gt;"",MAX(8,(I35-G35)-4),"")</f>
        <v/>
      </c>
      <c r="AT35">
        <f>MIN(Y35/150, 1)*30</f>
        <v>18</v>
      </c>
      <c r="AU35">
        <f>MIN(K35/4000, 1)*20</f>
        <v>0</v>
      </c>
      <c r="AV35">
        <f>MIN(W35/400,1)*20</f>
        <v>0</v>
      </c>
      <c r="AW35" s="4">
        <v>1</v>
      </c>
      <c r="AX35">
        <f>((MAX($J35,1)*MIN($AE35/300,1)))*IF(D35="Wagon",50,10)</f>
        <v>8.5</v>
      </c>
      <c r="AY35">
        <f>VLOOKUP($E35,Constants!$I:$K, 2, FALSE)</f>
        <v>1</v>
      </c>
      <c r="AZ35">
        <f>VLOOKUP($E35,Constants!$I:$K, 3, FALSE)*IF(AND(D35="multiple_unit",Y35&lt;110),0.75,1)</f>
        <v>0.45</v>
      </c>
      <c r="BA35">
        <f>INT(POWER(((Constants!$G$2+$AT35+$AU35+$AV35+$AX35)*$AW35)*$AZ35, 1.05))+$AS35</f>
        <v>16</v>
      </c>
      <c r="BB35">
        <f>INT(((Constants!$G$1+$AT35+$AU35+$AV35+$AX35)*(1/$AW35))*$AY35)+$AR35</f>
        <v>61</v>
      </c>
      <c r="BD35">
        <f>INT(Y35*1.25)</f>
        <v>112</v>
      </c>
      <c r="BJ35" t="s">
        <v>1113</v>
      </c>
      <c r="BK35" t="s">
        <v>328</v>
      </c>
      <c r="BL35" t="str">
        <f>VLOOKUP(G35,Eras!$A$2:$C$10, 2, TRUE)</f>
        <v>prv</v>
      </c>
      <c r="BM35" t="s">
        <v>761</v>
      </c>
      <c r="BN35" t="str">
        <f>CONCATENATE(BL35,"_",BM35)</f>
        <v>prv_Extra</v>
      </c>
      <c r="BO35" t="str">
        <f t="shared" si="0"/>
        <v>{BLACK}Tare speed: {GOLD}{VELOCITY}{}</v>
      </c>
      <c r="BP35" t="str">
        <f t="shared" si="1"/>
        <v/>
      </c>
      <c r="BQ35" t="s">
        <v>880</v>
      </c>
      <c r="BR35" t="str">
        <f t="shared" si="2"/>
        <v/>
      </c>
      <c r="BS35" t="str">
        <f t="shared" si="3"/>
        <v>{BLACK}Tare speed: {GOLD}{VELOCITY}{}{SILVER}KTA wagons solve the problem of carrying high-cube containers in the small British loading gauge, using a "pocket" between the axles that can take either a single 40ft container or two 20ft ones.</v>
      </c>
    </row>
    <row r="36" spans="1:71" x14ac:dyDescent="0.25">
      <c r="A36" t="s">
        <v>848</v>
      </c>
      <c r="B36" t="s">
        <v>850</v>
      </c>
      <c r="C36">
        <v>60</v>
      </c>
      <c r="D36" t="s">
        <v>323</v>
      </c>
      <c r="E36" t="s">
        <v>323</v>
      </c>
      <c r="F36" t="s">
        <v>316</v>
      </c>
      <c r="G36">
        <v>1850</v>
      </c>
      <c r="I36">
        <v>1924</v>
      </c>
      <c r="T36">
        <v>5</v>
      </c>
      <c r="V36">
        <v>6</v>
      </c>
      <c r="X36" s="4" t="str">
        <f>IF(AND(T36&gt;0,W36&gt;0),(W36/((T36+U36)*10)),"")</f>
        <v/>
      </c>
      <c r="Y36">
        <v>35</v>
      </c>
      <c r="AA36">
        <v>6</v>
      </c>
      <c r="AB36">
        <v>6</v>
      </c>
      <c r="AE36" s="11">
        <v>24</v>
      </c>
      <c r="AF36" t="str">
        <f>CONCATENATE(VLOOKUP(AG36, 'Voxel Sizes'!$A$2:$B$18,2,FALSE),"x",INT(AC36*15), "x", INT(AD36*15))</f>
        <v>60x0x0</v>
      </c>
      <c r="AG36">
        <f>ROUND(15*((AB36*10)/256),0)</f>
        <v>4</v>
      </c>
      <c r="AI36" t="str">
        <f>CONCATENATE(VLOOKUP(AG36,Constants!$A$2:$C$16,IF(AH36&lt;&gt;"", 3, 2), FALSE),IF(AH36&lt;&gt;"",CONCATENATE(",",VLOOKUP(AH36,$B:$AI,34,FALSE)),""))</f>
        <v>1,2,1</v>
      </c>
      <c r="AP36">
        <v>40</v>
      </c>
      <c r="AQ36">
        <f>IF(I36&lt;&gt;"",MAX(8,(I36-G36)-4),"")</f>
        <v>70</v>
      </c>
      <c r="AT36">
        <f>MIN(Y36/150, 1)*30</f>
        <v>7</v>
      </c>
      <c r="AU36">
        <f>MIN(K36/4000, 1)*20</f>
        <v>0</v>
      </c>
      <c r="AV36">
        <f>MIN(W36/400,1)*20</f>
        <v>0</v>
      </c>
      <c r="AW36" s="4">
        <v>1</v>
      </c>
      <c r="AX36">
        <f>((MAX($J36,1)*MIN($AE36/300,1)))*IF(D36="Wagon",50,10)</f>
        <v>4</v>
      </c>
      <c r="AY36">
        <f>VLOOKUP($E36,Constants!$I:$K, 2, FALSE)</f>
        <v>1</v>
      </c>
      <c r="AZ36">
        <f>VLOOKUP($E36,Constants!$I:$K, 3, FALSE)*IF(AND(D36="multiple_unit",Y36&lt;110),0.75,1)</f>
        <v>0.45</v>
      </c>
      <c r="BA36">
        <f>INT(POWER(((Constants!$G$2+$AT36+$AU36+$AV36+$AX36)*$AW36)*$AZ36, 1.05))+$AS36</f>
        <v>7</v>
      </c>
      <c r="BB36">
        <f>INT(((Constants!$G$1+$AT36+$AU36+$AV36+$AX36)*(1/$AW36))*$AY36)+$AR36</f>
        <v>46</v>
      </c>
      <c r="BD36">
        <f>INT(Y36*1.25)</f>
        <v>43</v>
      </c>
      <c r="BJ36" t="s">
        <v>1112</v>
      </c>
      <c r="BK36" t="s">
        <v>462</v>
      </c>
      <c r="BL36" t="str">
        <f>VLOOKUP(G36,Eras!$A$2:$C$10, 2, TRUE)</f>
        <v>vct</v>
      </c>
      <c r="BM36" t="s">
        <v>383</v>
      </c>
      <c r="BN36" t="str">
        <f>CONCATENATE(BL36,"_",BM36)</f>
        <v>vct_Flat Wagon</v>
      </c>
      <c r="BO36" t="str">
        <f t="shared" si="0"/>
        <v>{BLACK}Tare speed: {GOLD}{VELOCITY}{}</v>
      </c>
      <c r="BP36" t="str">
        <f t="shared" si="1"/>
        <v/>
      </c>
      <c r="BQ36" t="s">
        <v>849</v>
      </c>
      <c r="BR36" t="str">
        <f t="shared" si="2"/>
        <v/>
      </c>
      <c r="BS36" t="str">
        <f t="shared" si="3"/>
        <v>{BLACK}Tare speed: {GOLD}{VELOCITY}{}{SILVER}Flat wagons carried goods such as metal pipes and wood, where a flat surface with bolsters for tying loads down was most convenient.</v>
      </c>
    </row>
    <row r="37" spans="1:71" x14ac:dyDescent="0.25">
      <c r="A37" t="s">
        <v>460</v>
      </c>
      <c r="B37" t="s">
        <v>461</v>
      </c>
      <c r="C37">
        <v>62</v>
      </c>
      <c r="D37" t="s">
        <v>323</v>
      </c>
      <c r="E37" t="s">
        <v>323</v>
      </c>
      <c r="F37" t="s">
        <v>316</v>
      </c>
      <c r="G37">
        <v>1906</v>
      </c>
      <c r="I37">
        <v>1960</v>
      </c>
      <c r="T37">
        <v>7</v>
      </c>
      <c r="V37">
        <v>7</v>
      </c>
      <c r="X37" s="4" t="str">
        <f>IF(AND(T37&gt;0,W37&gt;0),(W37/((T37+U37)*10)),"")</f>
        <v/>
      </c>
      <c r="Y37">
        <v>45</v>
      </c>
      <c r="AA37">
        <v>8</v>
      </c>
      <c r="AB37">
        <v>8</v>
      </c>
      <c r="AE37" s="11">
        <v>24</v>
      </c>
      <c r="AF37" t="str">
        <f>CONCATENATE(VLOOKUP(AG37, 'Voxel Sizes'!$A$2:$B$18,2,FALSE),"x",INT(AC37*15), "x", INT(AD37*15))</f>
        <v>82x0x0</v>
      </c>
      <c r="AG37">
        <f>ROUND(15*((AB37*10)/256),0)</f>
        <v>5</v>
      </c>
      <c r="AI37" t="str">
        <f>CONCATENATE(VLOOKUP(AG37,Constants!$A$2:$C$16,IF(AH37&lt;&gt;"", 3, 2), FALSE),IF(AH37&lt;&gt;"",CONCATENATE(",",VLOOKUP(AH37,$B:$AI,34,FALSE)),""))</f>
        <v>2,1,2</v>
      </c>
      <c r="AP37">
        <v>40</v>
      </c>
      <c r="AQ37">
        <f>IF(I37&lt;&gt;"",MAX(8,(I37-G37)-4),"")</f>
        <v>50</v>
      </c>
      <c r="AT37">
        <f>MIN(Y37/150, 1)*30</f>
        <v>9</v>
      </c>
      <c r="AU37">
        <f>MIN(K37/4000, 1)*20</f>
        <v>0</v>
      </c>
      <c r="AV37">
        <f>MIN(W37/400,1)*20</f>
        <v>0</v>
      </c>
      <c r="AW37" s="4">
        <v>1</v>
      </c>
      <c r="AX37">
        <f>((MAX($J37,1)*MIN($AE37/300,1)))*IF(D37="Wagon",50,10)</f>
        <v>4</v>
      </c>
      <c r="AY37">
        <f>VLOOKUP($E37,Constants!$I:$K, 2, FALSE)</f>
        <v>1</v>
      </c>
      <c r="AZ37">
        <f>VLOOKUP($E37,Constants!$I:$K, 3, FALSE)*IF(AND(D37="multiple_unit",Y37&lt;110),0.75,1)</f>
        <v>0.45</v>
      </c>
      <c r="BA37">
        <f>INT(POWER(((Constants!$G$2+$AT37+$AU37+$AV37+$AX37)*$AW37)*$AZ37, 1.05))+$AS37</f>
        <v>8</v>
      </c>
      <c r="BB37">
        <f>INT(((Constants!$G$1+$AT37+$AU37+$AV37+$AX37)*(1/$AW37))*$AY37)+$AR37</f>
        <v>48</v>
      </c>
      <c r="BD37">
        <f>INT(Y37*1.25)</f>
        <v>56</v>
      </c>
      <c r="BJ37" t="s">
        <v>1112</v>
      </c>
      <c r="BK37" t="s">
        <v>462</v>
      </c>
      <c r="BL37" t="str">
        <f>VLOOKUP(G37,Eras!$A$2:$C$10, 2, TRUE)</f>
        <v>edw</v>
      </c>
      <c r="BM37" t="s">
        <v>383</v>
      </c>
      <c r="BN37" t="str">
        <f>CONCATENATE(BL37,"_",BM37)</f>
        <v>edw_Flat Wagon</v>
      </c>
      <c r="BO37" t="str">
        <f t="shared" si="0"/>
        <v>{BLACK}Tare speed: {GOLD}{VELOCITY}{}</v>
      </c>
      <c r="BP37" t="str">
        <f t="shared" si="1"/>
        <v/>
      </c>
      <c r="BQ37" t="s">
        <v>463</v>
      </c>
      <c r="BR37" t="str">
        <f t="shared" si="2"/>
        <v/>
      </c>
      <c r="BS37" t="str">
        <f t="shared" si="3"/>
        <v>{BLACK}Tare speed: {GOLD}{VELOCITY}{}{SILVER}"Beaver" was the GWR telegraph code for a flat wagon, with an additional letter used to identify the length.</v>
      </c>
    </row>
    <row r="38" spans="1:71" x14ac:dyDescent="0.25">
      <c r="A38" t="s">
        <v>142</v>
      </c>
      <c r="B38" t="s">
        <v>831</v>
      </c>
      <c r="C38">
        <v>64</v>
      </c>
      <c r="D38" t="s">
        <v>323</v>
      </c>
      <c r="E38" t="s">
        <v>323</v>
      </c>
      <c r="F38" t="s">
        <v>316</v>
      </c>
      <c r="G38">
        <v>1916</v>
      </c>
      <c r="I38">
        <v>1965</v>
      </c>
      <c r="T38">
        <v>14</v>
      </c>
      <c r="V38">
        <v>7</v>
      </c>
      <c r="X38" s="4" t="str">
        <f>IF(AND(T38&gt;0,W38&gt;0),(W38/((T38+U38)*10)),"")</f>
        <v/>
      </c>
      <c r="Y38">
        <v>45</v>
      </c>
      <c r="AA38">
        <v>15.2</v>
      </c>
      <c r="AB38">
        <v>15.2</v>
      </c>
      <c r="AE38" s="11">
        <v>42</v>
      </c>
      <c r="AF38" t="str">
        <f>CONCATENATE(VLOOKUP(AG38, 'Voxel Sizes'!$A$2:$B$18,2,FALSE),"x",INT(AC38*15), "x", INT(AD38*15))</f>
        <v>152x0x0</v>
      </c>
      <c r="AG38">
        <f>ROUND(15*((AB38*10)/256),0)</f>
        <v>9</v>
      </c>
      <c r="AI38" t="str">
        <f>CONCATENATE(VLOOKUP(AG38,Constants!$A$2:$C$16,IF(AH38&lt;&gt;"", 3, 2), FALSE),IF(AH38&lt;&gt;"",CONCATENATE(",",VLOOKUP(AH38,$B:$AI,34,FALSE)),""))</f>
        <v>2,5,2</v>
      </c>
      <c r="AP38">
        <v>40</v>
      </c>
      <c r="AQ38">
        <f>IF(I38&lt;&gt;"",MAX(8,(I38-G38)-4),"")</f>
        <v>45</v>
      </c>
      <c r="AT38">
        <f>MIN(Y38/150, 1)*30</f>
        <v>9</v>
      </c>
      <c r="AU38">
        <f>MIN(K38/4000, 1)*20</f>
        <v>0</v>
      </c>
      <c r="AV38">
        <f>MIN(W38/400,1)*20</f>
        <v>0</v>
      </c>
      <c r="AW38" s="4">
        <v>1</v>
      </c>
      <c r="AX38">
        <f>((MAX($J38,1)*MIN($AE38/300,1)))*IF(D38="Wagon",50,10)</f>
        <v>7.0000000000000009</v>
      </c>
      <c r="AY38">
        <f>VLOOKUP($E38,Constants!$I:$K, 2, FALSE)</f>
        <v>1</v>
      </c>
      <c r="AZ38">
        <f>VLOOKUP($E38,Constants!$I:$K, 3, FALSE)*IF(AND(D38="multiple_unit",Y38&lt;110),0.75,1)</f>
        <v>0.45</v>
      </c>
      <c r="BA38">
        <f>INT(POWER(((Constants!$G$2+$AT38+$AU38+$AV38+$AX38)*$AW38)*$AZ38, 1.05))+$AS38</f>
        <v>10</v>
      </c>
      <c r="BB38">
        <f>INT(((Constants!$G$1+$AT38+$AU38+$AV38+$AX38)*(1/$AW38))*$AY38)+$AR38</f>
        <v>51</v>
      </c>
      <c r="BD38">
        <f>INT(Y38*1.25)</f>
        <v>56</v>
      </c>
      <c r="BJ38" t="s">
        <v>1112</v>
      </c>
      <c r="BK38" t="s">
        <v>462</v>
      </c>
      <c r="BL38" t="str">
        <f>VLOOKUP(G38,Eras!$A$2:$C$10, 2, TRUE)</f>
        <v>edw</v>
      </c>
      <c r="BM38" t="s">
        <v>383</v>
      </c>
      <c r="BN38" t="str">
        <f>CONCATENATE(BL38,"_",BM38)</f>
        <v>edw_Flat Wagon</v>
      </c>
      <c r="BO38" t="str">
        <f t="shared" si="0"/>
        <v>{BLACK}Tare speed: {GOLD}{VELOCITY}{}</v>
      </c>
      <c r="BP38" t="str">
        <f t="shared" si="1"/>
        <v/>
      </c>
      <c r="BQ38" t="s">
        <v>830</v>
      </c>
      <c r="BR38" t="str">
        <f t="shared" si="2"/>
        <v/>
      </c>
      <c r="BS38" t="str">
        <f t="shared" si="3"/>
        <v>{BLACK}Tare speed: {GOLD}{VELOCITY}{}{SILVER}Bolster wagons were some of the earliest goods vehicles to use bogies rather than fixed axles. The wooden bolsters running across the wagon made long, rigid loads easy to tie down.</v>
      </c>
    </row>
    <row r="39" spans="1:71" x14ac:dyDescent="0.25">
      <c r="A39" t="s">
        <v>836</v>
      </c>
      <c r="B39" t="s">
        <v>837</v>
      </c>
      <c r="C39">
        <v>66</v>
      </c>
      <c r="D39" t="s">
        <v>323</v>
      </c>
      <c r="E39" t="s">
        <v>323</v>
      </c>
      <c r="F39" t="s">
        <v>316</v>
      </c>
      <c r="G39">
        <v>1925</v>
      </c>
      <c r="I39">
        <v>1970</v>
      </c>
      <c r="T39">
        <v>7</v>
      </c>
      <c r="V39">
        <v>7</v>
      </c>
      <c r="X39" s="4" t="str">
        <f>IF(AND(T39&gt;0,W39&gt;0),(W39/((T39+U39)*10)),"")</f>
        <v/>
      </c>
      <c r="Y39">
        <v>50</v>
      </c>
      <c r="AA39">
        <v>10</v>
      </c>
      <c r="AB39">
        <v>10</v>
      </c>
      <c r="AE39" s="11">
        <v>30</v>
      </c>
      <c r="AF39" t="str">
        <f>CONCATENATE(VLOOKUP(AG39, 'Voxel Sizes'!$A$2:$B$18,2,FALSE),"x",INT(AC39*15), "x", INT(AD39*15))</f>
        <v>102x0x0</v>
      </c>
      <c r="AG39">
        <f>ROUND(15*((AB39*10)/256),0)</f>
        <v>6</v>
      </c>
      <c r="AI39" t="str">
        <f>CONCATENATE(VLOOKUP(AG39,Constants!$A$2:$C$16,IF(AH39&lt;&gt;"", 3, 2), FALSE),IF(AH39&lt;&gt;"",CONCATENATE(",",VLOOKUP(AH39,$B:$AI,34,FALSE)),""))</f>
        <v>2,2,2</v>
      </c>
      <c r="AP39">
        <v>40</v>
      </c>
      <c r="AQ39">
        <f>IF(I39&lt;&gt;"",MAX(8,(I39-G39)-4),"")</f>
        <v>41</v>
      </c>
      <c r="AT39">
        <f>MIN(Y39/150, 1)*30</f>
        <v>10</v>
      </c>
      <c r="AU39">
        <f>MIN(K39/4000, 1)*20</f>
        <v>0</v>
      </c>
      <c r="AV39">
        <f>MIN(W39/400,1)*20</f>
        <v>0</v>
      </c>
      <c r="AW39" s="4">
        <v>1</v>
      </c>
      <c r="AX39">
        <f>((MAX($J39,1)*MIN($AE39/300,1)))*IF(D39="Wagon",50,10)</f>
        <v>5</v>
      </c>
      <c r="AY39">
        <f>VLOOKUP($E39,Constants!$I:$K, 2, FALSE)</f>
        <v>1</v>
      </c>
      <c r="AZ39">
        <f>VLOOKUP($E39,Constants!$I:$K, 3, FALSE)*IF(AND(D39="multiple_unit",Y39&lt;110),0.75,1)</f>
        <v>0.45</v>
      </c>
      <c r="BA39">
        <f>INT(POWER(((Constants!$G$2+$AT39+$AU39+$AV39+$AX39)*$AW39)*$AZ39, 1.05))+$AS39</f>
        <v>10</v>
      </c>
      <c r="BB39">
        <f>INT(((Constants!$G$1+$AT39+$AU39+$AV39+$AX39)*(1/$AW39))*$AY39)+$AR39</f>
        <v>50</v>
      </c>
      <c r="BD39">
        <f>INT(Y39*1.25)</f>
        <v>62</v>
      </c>
      <c r="BJ39" t="s">
        <v>1112</v>
      </c>
      <c r="BK39" t="s">
        <v>462</v>
      </c>
      <c r="BL39" t="str">
        <f>VLOOKUP(G39,Eras!$A$2:$C$10, 2, TRUE)</f>
        <v>big4</v>
      </c>
      <c r="BM39" t="s">
        <v>383</v>
      </c>
      <c r="BN39" t="str">
        <f>CONCATENATE(BL39,"_",BM39)</f>
        <v>big4_Flat Wagon</v>
      </c>
      <c r="BO39" t="str">
        <f t="shared" si="0"/>
        <v>{BLACK}Tare speed: {GOLD}{VELOCITY}{}</v>
      </c>
      <c r="BP39" t="str">
        <f t="shared" si="1"/>
        <v/>
      </c>
      <c r="BQ39" t="s">
        <v>838</v>
      </c>
      <c r="BR39" t="str">
        <f t="shared" si="2"/>
        <v/>
      </c>
      <c r="BS39" t="str">
        <f t="shared" si="3"/>
        <v>{BLACK}Tare speed: {GOLD}{VELOCITY}{}{SILVER}The LMS built double bolsters to carry welded rail, with single rails laid across multiple bolster wagons.</v>
      </c>
    </row>
    <row r="40" spans="1:71" x14ac:dyDescent="0.25">
      <c r="A40" t="s">
        <v>842</v>
      </c>
      <c r="B40" t="s">
        <v>843</v>
      </c>
      <c r="C40">
        <v>68</v>
      </c>
      <c r="D40" t="s">
        <v>323</v>
      </c>
      <c r="E40" t="s">
        <v>323</v>
      </c>
      <c r="F40" t="s">
        <v>316</v>
      </c>
      <c r="G40">
        <v>1949</v>
      </c>
      <c r="I40">
        <v>2010</v>
      </c>
      <c r="T40">
        <v>16</v>
      </c>
      <c r="V40">
        <v>7</v>
      </c>
      <c r="X40" s="4" t="str">
        <f>IF(AND(T40&gt;0,W40&gt;0),(W40/((T40+U40)*10)),"")</f>
        <v/>
      </c>
      <c r="Y40">
        <v>60</v>
      </c>
      <c r="AA40">
        <v>15.8</v>
      </c>
      <c r="AB40">
        <v>19.8</v>
      </c>
      <c r="AE40" s="11">
        <f>19*3</f>
        <v>57</v>
      </c>
      <c r="AF40" t="str">
        <f>CONCATENATE(VLOOKUP(AG40, 'Voxel Sizes'!$A$2:$B$18,2,FALSE),"x",INT(AC40*15), "x", INT(AD40*15))</f>
        <v>198x0x0</v>
      </c>
      <c r="AG40">
        <f>ROUND(15*((AB40*10)/256),0)</f>
        <v>12</v>
      </c>
      <c r="AI40" t="str">
        <f>CONCATENATE(VLOOKUP(AG40,Constants!$A$2:$C$16,IF(AH40&lt;&gt;"", 3, 2), FALSE),IF(AH40&lt;&gt;"",CONCATENATE(",",VLOOKUP(AH40,$B:$AI,34,FALSE)),""))</f>
        <v>4,4,4</v>
      </c>
      <c r="AP40">
        <v>40</v>
      </c>
      <c r="AQ40">
        <f>IF(I40&lt;&gt;"",MAX(8,(I40-G40)-4),"")</f>
        <v>57</v>
      </c>
      <c r="AT40">
        <f>MIN(Y40/150, 1)*30</f>
        <v>12</v>
      </c>
      <c r="AU40">
        <f>MIN(K40/4000, 1)*20</f>
        <v>0</v>
      </c>
      <c r="AV40">
        <f>MIN(W40/400,1)*20</f>
        <v>0</v>
      </c>
      <c r="AW40" s="4">
        <v>1</v>
      </c>
      <c r="AX40">
        <f>((MAX($J40,1)*MIN($AE40/300,1)))*IF(D40="Wagon",50,10)</f>
        <v>9.5</v>
      </c>
      <c r="AY40">
        <f>VLOOKUP($E40,Constants!$I:$K, 2, FALSE)</f>
        <v>1</v>
      </c>
      <c r="AZ40">
        <f>VLOOKUP($E40,Constants!$I:$K, 3, FALSE)*IF(AND(D40="multiple_unit",Y40&lt;110),0.75,1)</f>
        <v>0.45</v>
      </c>
      <c r="BA40">
        <f>INT(POWER(((Constants!$G$2+$AT40+$AU40+$AV40+$AX40)*$AW40)*$AZ40, 1.05))+$AS40</f>
        <v>13</v>
      </c>
      <c r="BB40">
        <f>INT(((Constants!$G$1+$AT40+$AU40+$AV40+$AX40)*(1/$AW40))*$AY40)+$AR40</f>
        <v>56</v>
      </c>
      <c r="BD40">
        <f>INT(Y40*1.25)</f>
        <v>75</v>
      </c>
      <c r="BJ40" t="s">
        <v>1112</v>
      </c>
      <c r="BK40" t="s">
        <v>462</v>
      </c>
      <c r="BL40" t="str">
        <f>VLOOKUP(G40,Eras!$A$2:$C$10, 2, TRUE)</f>
        <v>ebr</v>
      </c>
      <c r="BM40" t="s">
        <v>383</v>
      </c>
      <c r="BN40" t="str">
        <f>CONCATENATE(BL40,"_",BM40)</f>
        <v>ebr_Flat Wagon</v>
      </c>
      <c r="BO40" t="str">
        <f t="shared" si="0"/>
        <v>{BLACK}Tare speed: {GOLD}{VELOCITY}{}</v>
      </c>
      <c r="BP40" t="str">
        <f t="shared" si="1"/>
        <v/>
      </c>
      <c r="BQ40" t="s">
        <v>844</v>
      </c>
      <c r="BR40" t="str">
        <f t="shared" si="2"/>
        <v/>
      </c>
      <c r="BS40" t="str">
        <f t="shared" si="3"/>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1" spans="1:71" x14ac:dyDescent="0.25">
      <c r="A41" t="s">
        <v>839</v>
      </c>
      <c r="B41" t="s">
        <v>840</v>
      </c>
      <c r="C41">
        <v>70</v>
      </c>
      <c r="D41" t="s">
        <v>323</v>
      </c>
      <c r="E41" t="s">
        <v>323</v>
      </c>
      <c r="F41" t="s">
        <v>316</v>
      </c>
      <c r="G41">
        <v>1975</v>
      </c>
      <c r="T41">
        <v>16</v>
      </c>
      <c r="V41">
        <v>7</v>
      </c>
      <c r="X41" s="4" t="str">
        <f>IF(AND(T41&gt;0,W41&gt;0),(W41/((T41+U41)*10)),"")</f>
        <v/>
      </c>
      <c r="Y41">
        <v>70</v>
      </c>
      <c r="AA41">
        <v>15.8</v>
      </c>
      <c r="AB41">
        <v>15.8</v>
      </c>
      <c r="AE41" s="11">
        <v>45</v>
      </c>
      <c r="AF41" t="str">
        <f>CONCATENATE(VLOOKUP(AG41, 'Voxel Sizes'!$A$2:$B$18,2,FALSE),"x",INT(AC41*15), "x", INT(AD41*15))</f>
        <v>152x0x0</v>
      </c>
      <c r="AG41">
        <f>ROUND(15*((AB41*10)/256),0)</f>
        <v>9</v>
      </c>
      <c r="AI41" t="str">
        <f>CONCATENATE(VLOOKUP(AG41,Constants!$A$2:$C$16,IF(AH41&lt;&gt;"", 3, 2), FALSE),IF(AH41&lt;&gt;"",CONCATENATE(",",VLOOKUP(AH41,$B:$AI,34,FALSE)),""))</f>
        <v>2,5,2</v>
      </c>
      <c r="AP41">
        <v>40</v>
      </c>
      <c r="AQ41" t="str">
        <f>IF(I41&lt;&gt;"",MAX(8,(I41-G41)-4),"")</f>
        <v/>
      </c>
      <c r="AT41">
        <f>MIN(Y41/150, 1)*30</f>
        <v>14</v>
      </c>
      <c r="AU41">
        <f>MIN(K41/4000, 1)*20</f>
        <v>0</v>
      </c>
      <c r="AV41">
        <f>MIN(W41/400,1)*20</f>
        <v>0</v>
      </c>
      <c r="AW41" s="4">
        <v>1</v>
      </c>
      <c r="AX41">
        <f>((MAX($J41,1)*MIN($AE41/300,1)))*IF(D41="Wagon",50,10)</f>
        <v>7.5</v>
      </c>
      <c r="AY41">
        <f>VLOOKUP($E41,Constants!$I:$K, 2, FALSE)</f>
        <v>1</v>
      </c>
      <c r="AZ41">
        <f>VLOOKUP($E41,Constants!$I:$K, 3, FALSE)*IF(AND(D41="multiple_unit",Y41&lt;110),0.75,1)</f>
        <v>0.45</v>
      </c>
      <c r="BA41">
        <f>INT(POWER(((Constants!$G$2+$AT41+$AU41+$AV41+$AX41)*$AW41)*$AZ41, 1.05))+$AS41</f>
        <v>13</v>
      </c>
      <c r="BB41">
        <f>INT(((Constants!$G$1+$AT41+$AU41+$AV41+$AX41)*(1/$AW41))*$AY41)+$AR41</f>
        <v>56</v>
      </c>
      <c r="BD41">
        <f>INT(Y41*1.25)</f>
        <v>87</v>
      </c>
      <c r="BJ41" t="s">
        <v>1112</v>
      </c>
      <c r="BK41" t="s">
        <v>462</v>
      </c>
      <c r="BL41" t="str">
        <f>VLOOKUP(G41,Eras!$A$2:$C$10, 2, TRUE)</f>
        <v>lbr</v>
      </c>
      <c r="BM41" t="s">
        <v>383</v>
      </c>
      <c r="BN41" t="str">
        <f>CONCATENATE(BL41,"_",BM41)</f>
        <v>lbr_Flat Wagon</v>
      </c>
      <c r="BO41" t="str">
        <f t="shared" si="0"/>
        <v>{BLACK}Tare speed: {GOLD}{VELOCITY}{}</v>
      </c>
      <c r="BP41" t="str">
        <f t="shared" si="1"/>
        <v/>
      </c>
      <c r="BQ41" t="s">
        <v>841</v>
      </c>
      <c r="BR41" t="str">
        <f t="shared" si="2"/>
        <v/>
      </c>
      <c r="BS41" t="str">
        <f t="shared" si="3"/>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2" spans="1:71" x14ac:dyDescent="0.25">
      <c r="A42" t="s">
        <v>845</v>
      </c>
      <c r="B42" t="s">
        <v>846</v>
      </c>
      <c r="C42">
        <v>72</v>
      </c>
      <c r="D42" t="s">
        <v>323</v>
      </c>
      <c r="E42" t="s">
        <v>323</v>
      </c>
      <c r="F42" t="s">
        <v>316</v>
      </c>
      <c r="G42">
        <v>2009</v>
      </c>
      <c r="T42">
        <v>16</v>
      </c>
      <c r="V42">
        <v>8</v>
      </c>
      <c r="X42" s="4" t="str">
        <f>IF(AND(T42&gt;0,W42&gt;0),(W42/((T42+U42)*10)),"")</f>
        <v/>
      </c>
      <c r="Y42">
        <v>85</v>
      </c>
      <c r="AA42">
        <v>15.8</v>
      </c>
      <c r="AB42">
        <v>19.8</v>
      </c>
      <c r="AE42" s="11">
        <v>60</v>
      </c>
      <c r="AF42" t="str">
        <f>CONCATENATE(VLOOKUP(AG42, 'Voxel Sizes'!$A$2:$B$18,2,FALSE),"x",INT(AC42*15), "x", INT(AD42*15))</f>
        <v>198x0x0</v>
      </c>
      <c r="AG42">
        <f>ROUND(15*((AB42*10)/256),0)</f>
        <v>12</v>
      </c>
      <c r="AI42" t="str">
        <f>CONCATENATE(VLOOKUP(AG42,Constants!$A$2:$C$16,IF(AH42&lt;&gt;"", 3, 2), FALSE),IF(AH42&lt;&gt;"",CONCATENATE(",",VLOOKUP(AH42,$B:$AI,34,FALSE)),""))</f>
        <v>4,4,4</v>
      </c>
      <c r="AP42">
        <v>40</v>
      </c>
      <c r="AQ42" t="str">
        <f>IF(I42&lt;&gt;"",MAX(8,(I42-G42)-4),"")</f>
        <v/>
      </c>
      <c r="AT42">
        <f>MIN(Y42/150, 1)*30</f>
        <v>17</v>
      </c>
      <c r="AU42">
        <f>MIN(K42/4000, 1)*20</f>
        <v>0</v>
      </c>
      <c r="AV42">
        <f>MIN(W42/400,1)*20</f>
        <v>0</v>
      </c>
      <c r="AW42" s="4">
        <v>1</v>
      </c>
      <c r="AX42">
        <f>((MAX($J42,1)*MIN($AE42/300,1)))*IF(D42="Wagon",50,10)</f>
        <v>10</v>
      </c>
      <c r="AY42">
        <f>VLOOKUP($E42,Constants!$I:$K, 2, FALSE)</f>
        <v>1</v>
      </c>
      <c r="AZ42">
        <f>VLOOKUP($E42,Constants!$I:$K, 3, FALSE)*IF(AND(D42="multiple_unit",Y42&lt;110),0.75,1)</f>
        <v>0.45</v>
      </c>
      <c r="BA42">
        <f>INT(POWER(((Constants!$G$2+$AT42+$AU42+$AV42+$AX42)*$AW42)*$AZ42, 1.05))+$AS42</f>
        <v>16</v>
      </c>
      <c r="BB42">
        <f>INT(((Constants!$G$1+$AT42+$AU42+$AV42+$AX42)*(1/$AW42))*$AY42)+$AR42</f>
        <v>62</v>
      </c>
      <c r="BD42">
        <f>INT(Y42*1.25)</f>
        <v>106</v>
      </c>
      <c r="BJ42" t="s">
        <v>1112</v>
      </c>
      <c r="BK42" t="s">
        <v>462</v>
      </c>
      <c r="BL42" t="str">
        <f>VLOOKUP(G42,Eras!$A$2:$C$10, 2, TRUE)</f>
        <v>mod</v>
      </c>
      <c r="BM42" t="s">
        <v>383</v>
      </c>
      <c r="BN42" t="str">
        <f>CONCATENATE(BL42,"_",BM42)</f>
        <v>mod_Flat Wagon</v>
      </c>
      <c r="BO42" t="str">
        <f t="shared" si="0"/>
        <v>{BLACK}Tare speed: {GOLD}{VELOCITY}{}</v>
      </c>
      <c r="BP42" t="str">
        <f t="shared" si="1"/>
        <v/>
      </c>
      <c r="BQ42" t="s">
        <v>847</v>
      </c>
      <c r="BR42" t="str">
        <f t="shared" si="2"/>
        <v/>
      </c>
      <c r="BS42" t="str">
        <f t="shared" si="3"/>
        <v>{BLACK}Tare speed: {GOLD}{VELOCITY}{}{SILVER}Despite the age of the "Salmon" bolster wagons, in 2009 they were refurbished with new end plates to make loading track panels simpler.</v>
      </c>
    </row>
    <row r="43" spans="1:71" x14ac:dyDescent="0.25">
      <c r="A43" t="s">
        <v>851</v>
      </c>
      <c r="B43" t="s">
        <v>852</v>
      </c>
      <c r="C43">
        <v>80</v>
      </c>
      <c r="D43" t="s">
        <v>323</v>
      </c>
      <c r="E43" t="s">
        <v>323</v>
      </c>
      <c r="F43" t="s">
        <v>316</v>
      </c>
      <c r="G43">
        <v>1972</v>
      </c>
      <c r="T43">
        <v>17</v>
      </c>
      <c r="V43">
        <v>8</v>
      </c>
      <c r="X43" s="4" t="str">
        <f>IF(AND(T43&gt;0,W43&gt;0),(W43/((T43+U43)*10)),"")</f>
        <v/>
      </c>
      <c r="Y43">
        <v>70</v>
      </c>
      <c r="AA43">
        <v>13.3</v>
      </c>
      <c r="AB43">
        <v>13.3</v>
      </c>
      <c r="AE43" s="11">
        <v>42</v>
      </c>
      <c r="AF43" t="str">
        <f>CONCATENATE(VLOOKUP(AG43, 'Voxel Sizes'!$A$2:$B$18,2,FALSE),"x",INT(AC43*15), "x", INT(AD43*15))</f>
        <v>136x0x0</v>
      </c>
      <c r="AG43">
        <f>ROUND(15*((AB43*10)/256),0)</f>
        <v>8</v>
      </c>
      <c r="AI43" t="str">
        <f>CONCATENATE(VLOOKUP(AG43,Constants!$A$2:$C$16,IF(AH43&lt;&gt;"", 3, 2), FALSE),IF(AH43&lt;&gt;"",CONCATENATE(",",VLOOKUP(AH43,$B:$AI,34,FALSE)),""))</f>
        <v>2,4,2</v>
      </c>
      <c r="AP43">
        <v>40</v>
      </c>
      <c r="AQ43" t="str">
        <f>IF(I43&lt;&gt;"",MAX(8,(I43-G43)-4),"")</f>
        <v/>
      </c>
      <c r="AT43">
        <f>MIN(Y43/150, 1)*30</f>
        <v>14</v>
      </c>
      <c r="AU43">
        <f>MIN(K43/4000, 1)*20</f>
        <v>0</v>
      </c>
      <c r="AV43">
        <f>MIN(W43/400,1)*20</f>
        <v>0</v>
      </c>
      <c r="AW43" s="4">
        <v>1</v>
      </c>
      <c r="AX43">
        <f>((MAX($J43,1)*MIN($AE43/300,1)))*IF(D43="Wagon",50,10)</f>
        <v>7.0000000000000009</v>
      </c>
      <c r="AY43">
        <f>VLOOKUP($E43,Constants!$I:$K, 2, FALSE)</f>
        <v>1</v>
      </c>
      <c r="AZ43">
        <f>VLOOKUP($E43,Constants!$I:$K, 3, FALSE)*IF(AND(D43="multiple_unit",Y43&lt;110),0.75,1)</f>
        <v>0.45</v>
      </c>
      <c r="BA43">
        <f>INT(POWER(((Constants!$G$2+$AT43+$AU43+$AV43+$AX43)*$AW43)*$AZ43, 1.05))+$AS43</f>
        <v>13</v>
      </c>
      <c r="BB43">
        <f>INT(((Constants!$G$1+$AT43+$AU43+$AV43+$AX43)*(1/$AW43))*$AY43)+$AR43</f>
        <v>56</v>
      </c>
      <c r="BD43">
        <f>INT(Y43*1.25)</f>
        <v>87</v>
      </c>
      <c r="BJ43" t="s">
        <v>958</v>
      </c>
      <c r="BK43" t="s">
        <v>861</v>
      </c>
      <c r="BL43" t="str">
        <f>VLOOKUP(G43,Eras!$A$2:$C$10, 2, TRUE)</f>
        <v>lbr</v>
      </c>
      <c r="BM43" t="s">
        <v>383</v>
      </c>
      <c r="BN43" t="str">
        <f>CONCATENATE(BL43,"_",BM43)</f>
        <v>lbr_Flat Wagon</v>
      </c>
      <c r="BO43" t="str">
        <f t="shared" si="0"/>
        <v>{BLACK}Tare speed: {GOLD}{VELOCITY}{}</v>
      </c>
      <c r="BP43" t="str">
        <f t="shared" si="1"/>
        <v/>
      </c>
      <c r="BQ43" t="s">
        <v>862</v>
      </c>
      <c r="BR43" t="str">
        <f t="shared" si="2"/>
        <v/>
      </c>
      <c r="BS43" t="str">
        <f t="shared" si="3"/>
        <v>{BLACK}Tare speed: {GOLD}{VELOCITY}{}{SILVER}BAA wagons could initially carry steel in a large variety of forms, although many were later modified to be dedicated coil carriers.</v>
      </c>
    </row>
    <row r="44" spans="1:71" x14ac:dyDescent="0.25">
      <c r="A44" t="s">
        <v>853</v>
      </c>
      <c r="B44" t="s">
        <v>854</v>
      </c>
      <c r="C44">
        <v>82</v>
      </c>
      <c r="D44" t="s">
        <v>323</v>
      </c>
      <c r="E44" t="s">
        <v>323</v>
      </c>
      <c r="F44" t="s">
        <v>316</v>
      </c>
      <c r="G44">
        <v>1998</v>
      </c>
      <c r="T44">
        <v>24</v>
      </c>
      <c r="X44" s="4" t="str">
        <f>IF(AND(T44&gt;0,W44&gt;0),(W44/((T44+U44)*10)),"")</f>
        <v/>
      </c>
      <c r="Y44">
        <v>85</v>
      </c>
      <c r="AA44">
        <v>18.600000000000001</v>
      </c>
      <c r="AB44">
        <v>18.600000000000001</v>
      </c>
      <c r="AE44" s="11">
        <v>78</v>
      </c>
      <c r="AF44" t="str">
        <f>CONCATENATE(VLOOKUP(AG44, 'Voxel Sizes'!$A$2:$B$18,2,FALSE),"x",INT(AC44*15), "x", INT(AD44*15))</f>
        <v>186x0x0</v>
      </c>
      <c r="AG44">
        <f>ROUND(15*((AB44*10)/256),0)</f>
        <v>11</v>
      </c>
      <c r="AI44" t="str">
        <f>CONCATENATE(VLOOKUP(AG44,Constants!$A$2:$C$16,IF(AH44&lt;&gt;"", 3, 2), FALSE),IF(AH44&lt;&gt;"",CONCATENATE(",",VLOOKUP(AH44,$B:$AI,34,FALSE)),""))</f>
        <v>4,3,4</v>
      </c>
      <c r="AP44">
        <v>40</v>
      </c>
      <c r="AQ44" t="str">
        <f>IF(I44&lt;&gt;"",MAX(8,(I44-G44)-4),"")</f>
        <v/>
      </c>
      <c r="AT44">
        <f>MIN(Y44/150, 1)*30</f>
        <v>17</v>
      </c>
      <c r="AU44">
        <f>MIN(K44/4000, 1)*20</f>
        <v>0</v>
      </c>
      <c r="AV44">
        <f>MIN(W44/400,1)*20</f>
        <v>0</v>
      </c>
      <c r="AW44" s="4">
        <v>1</v>
      </c>
      <c r="AX44">
        <f>((MAX($J44,1)*MIN($AE44/300,1)))*IF(D44="Wagon",50,10)</f>
        <v>13</v>
      </c>
      <c r="AY44">
        <f>VLOOKUP($E44,Constants!$I:$K, 2, FALSE)</f>
        <v>1</v>
      </c>
      <c r="AZ44">
        <f>VLOOKUP($E44,Constants!$I:$K, 3, FALSE)*IF(AND(D44="multiple_unit",Y44&lt;110),0.75,1)</f>
        <v>0.45</v>
      </c>
      <c r="BA44">
        <f>INT(POWER(((Constants!$G$2+$AT44+$AU44+$AV44+$AX44)*$AW44)*$AZ44, 1.05))+$AS44</f>
        <v>18</v>
      </c>
      <c r="BB44">
        <f>INT(((Constants!$G$1+$AT44+$AU44+$AV44+$AX44)*(1/$AW44))*$AY44)+$AR44</f>
        <v>65</v>
      </c>
      <c r="BD44">
        <f>INT(Y44*1.25)</f>
        <v>106</v>
      </c>
      <c r="BJ44" t="s">
        <v>958</v>
      </c>
      <c r="BK44" t="s">
        <v>861</v>
      </c>
      <c r="BL44" t="str">
        <f>VLOOKUP(G44,Eras!$A$2:$C$10, 2, TRUE)</f>
        <v>prv</v>
      </c>
      <c r="BM44" t="s">
        <v>383</v>
      </c>
      <c r="BN44" t="str">
        <f>CONCATENATE(BL44,"_",BM44)</f>
        <v>prv_Flat Wagon</v>
      </c>
      <c r="BO44" t="str">
        <f t="shared" si="0"/>
        <v>{BLACK}Tare speed: {GOLD}{VELOCITY}{}</v>
      </c>
      <c r="BP44" t="str">
        <f t="shared" si="1"/>
        <v/>
      </c>
      <c r="BQ44" t="s">
        <v>860</v>
      </c>
      <c r="BR44" t="str">
        <f t="shared" si="2"/>
        <v/>
      </c>
      <c r="BS44" t="str">
        <f t="shared" si="3"/>
        <v>{BLACK}Tare speed: {GOLD}{VELOCITY}{}{SILVER}The BYA/BRA covered steel carriers gained their name from the corrugated sliding cover and its curved cross section.</v>
      </c>
    </row>
    <row r="45" spans="1:71" x14ac:dyDescent="0.25">
      <c r="A45" t="s">
        <v>138</v>
      </c>
      <c r="B45" t="s">
        <v>321</v>
      </c>
      <c r="C45">
        <v>93</v>
      </c>
      <c r="D45" t="s">
        <v>323</v>
      </c>
      <c r="E45" t="s">
        <v>323</v>
      </c>
      <c r="F45" t="s">
        <v>316</v>
      </c>
      <c r="G45">
        <v>1862</v>
      </c>
      <c r="I45">
        <v>1922</v>
      </c>
      <c r="T45">
        <v>5</v>
      </c>
      <c r="V45">
        <v>6</v>
      </c>
      <c r="X45" s="4" t="str">
        <f>IF(AND(T45&gt;0,W45&gt;0),(W45/((T45+U45)*10)),"")</f>
        <v/>
      </c>
      <c r="Y45">
        <v>35</v>
      </c>
      <c r="AA45">
        <v>4.9000000000000004</v>
      </c>
      <c r="AB45">
        <v>6</v>
      </c>
      <c r="AE45" s="11">
        <v>15</v>
      </c>
      <c r="AF45" t="str">
        <f>CONCATENATE(VLOOKUP(AG45, 'Voxel Sizes'!$A$2:$B$18,2,FALSE),"x",INT(AC45*15), "x", INT(AD45*15))</f>
        <v>60x0x0</v>
      </c>
      <c r="AG45">
        <f>ROUND(15*((AB45*10)/256),0)</f>
        <v>4</v>
      </c>
      <c r="AI45" t="str">
        <f>CONCATENATE(VLOOKUP(AG45,Constants!$A$2:$C$16,IF(AH45&lt;&gt;"", 3, 2), FALSE),IF(AH45&lt;&gt;"",CONCATENATE(",",VLOOKUP(AH45,$B:$AI,34,FALSE)),""))</f>
        <v>1,2,1</v>
      </c>
      <c r="AP45">
        <v>40</v>
      </c>
      <c r="AQ45">
        <f>IF(I45&lt;&gt;"",MAX(8,(I45-G45)-4),"")</f>
        <v>56</v>
      </c>
      <c r="AT45">
        <f>MIN(Y45/150, 1)*30</f>
        <v>7</v>
      </c>
      <c r="AU45">
        <f>MIN(K45/4000, 1)*20</f>
        <v>0</v>
      </c>
      <c r="AV45">
        <f>MIN(W45/400,1)*20</f>
        <v>0</v>
      </c>
      <c r="AW45" s="4">
        <v>1</v>
      </c>
      <c r="AX45">
        <f>((MAX($J45,1)*MIN($AE45/300,1)))*IF(D45="Wagon",50,10)</f>
        <v>2.5</v>
      </c>
      <c r="AY45">
        <f>VLOOKUP($E45,Constants!$I:$K, 2, FALSE)</f>
        <v>1</v>
      </c>
      <c r="AZ45">
        <f>VLOOKUP($E45,Constants!$I:$K, 3, FALSE)*IF(AND(D45="multiple_unit",Y45&lt;110),0.75,1)</f>
        <v>0.45</v>
      </c>
      <c r="BA45">
        <f>INT(POWER(((Constants!$G$2+$AT45+$AU45+$AV45+$AX45)*$AW45)*$AZ45, 1.05))+$AS45</f>
        <v>7</v>
      </c>
      <c r="BB45">
        <f>INT(((Constants!$G$1+$AT45+$AU45+$AV45+$AX45)*(1/$AW45))*$AY45)+$AR45</f>
        <v>44</v>
      </c>
      <c r="BD45">
        <f>INT(Y45*1.25)</f>
        <v>43</v>
      </c>
      <c r="BJ45" t="s">
        <v>385</v>
      </c>
      <c r="BK45" t="s">
        <v>326</v>
      </c>
      <c r="BL45" t="str">
        <f>VLOOKUP(G45,Eras!$A$2:$C$10, 2, TRUE)</f>
        <v>vct</v>
      </c>
      <c r="BM45" t="s">
        <v>385</v>
      </c>
      <c r="BN45" t="str">
        <f>CONCATENATE(BL45,"_",BM45)</f>
        <v>vct_Tanker</v>
      </c>
      <c r="BO45" t="str">
        <f t="shared" si="0"/>
        <v>{BLACK}Tare speed: {GOLD}{VELOCITY}{}</v>
      </c>
      <c r="BP45" t="str">
        <f t="shared" si="1"/>
        <v/>
      </c>
      <c r="BQ45" t="s">
        <v>405</v>
      </c>
      <c r="BR45" t="str">
        <f t="shared" si="2"/>
        <v/>
      </c>
      <c r="BS45" t="str">
        <f t="shared" si="3"/>
        <v>{BLACK}Tare speed: {GOLD}{VELOCITY}{}{SILVER}Early four wheel tank wagons are limited to low speeds by their construction and primitive suspension.</v>
      </c>
    </row>
    <row r="46" spans="1:71" x14ac:dyDescent="0.25">
      <c r="A46" t="s">
        <v>457</v>
      </c>
      <c r="B46" t="s">
        <v>458</v>
      </c>
      <c r="C46">
        <v>94</v>
      </c>
      <c r="D46" t="s">
        <v>323</v>
      </c>
      <c r="E46" t="s">
        <v>323</v>
      </c>
      <c r="F46" t="s">
        <v>316</v>
      </c>
      <c r="G46">
        <v>1901</v>
      </c>
      <c r="I46">
        <v>1939</v>
      </c>
      <c r="T46">
        <v>10</v>
      </c>
      <c r="V46">
        <v>6</v>
      </c>
      <c r="X46" s="4" t="str">
        <f>IF(AND(T46&gt;0,W46&gt;0),(W46/((T46+U46)*10)),"")</f>
        <v/>
      </c>
      <c r="Y46">
        <v>45</v>
      </c>
      <c r="AA46">
        <v>8</v>
      </c>
      <c r="AB46">
        <v>8</v>
      </c>
      <c r="AE46" s="11">
        <v>21</v>
      </c>
      <c r="AF46" t="str">
        <f>CONCATENATE(VLOOKUP(AG46, 'Voxel Sizes'!$A$2:$B$18,2,FALSE),"x",INT(AC46*15), "x", INT(AD46*15))</f>
        <v>82x0x0</v>
      </c>
      <c r="AG46">
        <f>ROUND(15*((AB46*10)/256),0)</f>
        <v>5</v>
      </c>
      <c r="AI46" t="str">
        <f>CONCATENATE(VLOOKUP(AG46,Constants!$A$2:$C$16,IF(AH46&lt;&gt;"", 3, 2), FALSE),IF(AH46&lt;&gt;"",CONCATENATE(",",VLOOKUP(AH46,$B:$AI,34,FALSE)),""))</f>
        <v>2,1,2</v>
      </c>
      <c r="AP46">
        <v>40</v>
      </c>
      <c r="AQ46">
        <f>IF(I46&lt;&gt;"",MAX(8,(I46-G46)-4),"")</f>
        <v>34</v>
      </c>
      <c r="AT46">
        <f>MIN(Y46/150, 1)*30</f>
        <v>9</v>
      </c>
      <c r="AU46">
        <f>MIN(K46/4000, 1)*20</f>
        <v>0</v>
      </c>
      <c r="AV46">
        <f>MIN(W46/400,1)*20</f>
        <v>0</v>
      </c>
      <c r="AW46" s="4">
        <v>1</v>
      </c>
      <c r="AX46">
        <f>((MAX($J46,1)*MIN($AE46/300,1)))*IF(D46="Wagon",50,10)</f>
        <v>3.5000000000000004</v>
      </c>
      <c r="AY46">
        <f>VLOOKUP($E46,Constants!$I:$K, 2, FALSE)</f>
        <v>1</v>
      </c>
      <c r="AZ46">
        <f>VLOOKUP($E46,Constants!$I:$K, 3, FALSE)*IF(AND(D46="multiple_unit",Y46&lt;110),0.75,1)</f>
        <v>0.45</v>
      </c>
      <c r="BA46">
        <f>INT(POWER(((Constants!$G$2+$AT46+$AU46+$AV46+$AX46)*$AW46)*$AZ46, 1.05))+$AS46</f>
        <v>8</v>
      </c>
      <c r="BB46">
        <f>INT(((Constants!$G$1+$AT46+$AU46+$AV46+$AX46)*(1/$AW46))*$AY46)+$AR46</f>
        <v>47</v>
      </c>
      <c r="BD46">
        <f>INT(Y46*1.25)</f>
        <v>56</v>
      </c>
      <c r="BJ46" t="s">
        <v>385</v>
      </c>
      <c r="BK46" t="s">
        <v>326</v>
      </c>
      <c r="BL46" t="str">
        <f>VLOOKUP(G46,Eras!$A$2:$C$10, 2, TRUE)</f>
        <v>edw</v>
      </c>
      <c r="BM46" t="s">
        <v>385</v>
      </c>
      <c r="BN46" t="str">
        <f>CONCATENATE(BL46,"_",BM46)</f>
        <v>edw_Tanker</v>
      </c>
      <c r="BO46" t="str">
        <f t="shared" si="0"/>
        <v>{BLACK}Tare speed: {GOLD}{VELOCITY}{}</v>
      </c>
      <c r="BP46" t="str">
        <f t="shared" si="1"/>
        <v/>
      </c>
      <c r="BQ46" t="s">
        <v>459</v>
      </c>
      <c r="BR46" t="str">
        <f t="shared" si="2"/>
        <v/>
      </c>
      <c r="BS46" t="str">
        <f t="shared" si="3"/>
        <v>{BLACK}Tare speed: {GOLD}{VELOCITY}{}{SILVER}The GWR's cylindrical tank wagons were built by the Locomotive department, as the iron cylinders used similar techniques to steam engines.</v>
      </c>
    </row>
    <row r="47" spans="1:71" x14ac:dyDescent="0.25">
      <c r="A47" t="s">
        <v>803</v>
      </c>
      <c r="B47" t="s">
        <v>322</v>
      </c>
      <c r="C47">
        <v>96</v>
      </c>
      <c r="D47" t="s">
        <v>323</v>
      </c>
      <c r="E47" t="s">
        <v>323</v>
      </c>
      <c r="F47" t="s">
        <v>316</v>
      </c>
      <c r="G47">
        <v>1928</v>
      </c>
      <c r="I47">
        <v>1975</v>
      </c>
      <c r="T47">
        <v>11</v>
      </c>
      <c r="V47">
        <v>6</v>
      </c>
      <c r="Y47">
        <v>50</v>
      </c>
      <c r="AA47">
        <v>8</v>
      </c>
      <c r="AB47">
        <v>8</v>
      </c>
      <c r="AE47" s="11">
        <v>27</v>
      </c>
      <c r="AF47" t="str">
        <f>CONCATENATE(VLOOKUP(AG47, 'Voxel Sizes'!$A$2:$B$18,2,FALSE),"x",INT(AC47*15), "x", INT(AD47*15))</f>
        <v>82x0x0</v>
      </c>
      <c r="AG47">
        <f>ROUND(15*((AB47*10)/256),0)</f>
        <v>5</v>
      </c>
      <c r="AI47" t="str">
        <f>CONCATENATE(VLOOKUP(AG47,Constants!$A$2:$C$16,IF(AH47&lt;&gt;"", 3, 2), FALSE),IF(AH47&lt;&gt;"",CONCATENATE(",",VLOOKUP(AH47,$B:$AI,34,FALSE)),""))</f>
        <v>2,1,2</v>
      </c>
      <c r="AP47">
        <v>40</v>
      </c>
      <c r="AQ47">
        <f>IF(I47&lt;&gt;"",MAX(8,(I47-G47)-4),"")</f>
        <v>43</v>
      </c>
      <c r="AT47">
        <f>MIN(Y47/150, 1)*30</f>
        <v>10</v>
      </c>
      <c r="AU47">
        <f>MIN(K47/4000, 1)*20</f>
        <v>0</v>
      </c>
      <c r="AV47">
        <f>MIN(W47/400,1)*20</f>
        <v>0</v>
      </c>
      <c r="AW47" s="4">
        <v>1</v>
      </c>
      <c r="AX47">
        <f>((MAX($J47,1)*MIN($AE47/300,1)))*IF(D47="Wagon",50,10)</f>
        <v>4.5</v>
      </c>
      <c r="AY47">
        <f>VLOOKUP($E47,Constants!$I:$K, 2, FALSE)</f>
        <v>1</v>
      </c>
      <c r="AZ47">
        <f>VLOOKUP($E47,Constants!$I:$K, 3, FALSE)*IF(AND(D47="multiple_unit",Y47&lt;110),0.75,1)</f>
        <v>0.45</v>
      </c>
      <c r="BA47">
        <f>INT(POWER(((Constants!$G$2+$AT47+$AU47+$AV47+$AX47)*$AW47)*$AZ47, 1.05))+$AS47</f>
        <v>9</v>
      </c>
      <c r="BB47">
        <f>INT(((Constants!$G$1+$AT47+$AU47+$AV47+$AX47)*(1/$AW47))*$AY47)+$AR47</f>
        <v>49</v>
      </c>
      <c r="BD47">
        <f>INT(Y47*1.25)</f>
        <v>62</v>
      </c>
      <c r="BJ47" t="s">
        <v>385</v>
      </c>
      <c r="BK47" t="s">
        <v>326</v>
      </c>
      <c r="BL47" t="str">
        <f>VLOOKUP(G47,Eras!$A$2:$C$10, 2, TRUE)</f>
        <v>big4</v>
      </c>
      <c r="BM47" t="s">
        <v>385</v>
      </c>
      <c r="BN47" t="str">
        <f>CONCATENATE(BL47,"_",BM47)</f>
        <v>big4_Tanker</v>
      </c>
      <c r="BO47" t="str">
        <f t="shared" si="0"/>
        <v>{BLACK}Tare speed: {GOLD}{VELOCITY}{}</v>
      </c>
      <c r="BP47" t="str">
        <f t="shared" si="1"/>
        <v/>
      </c>
      <c r="BQ47" t="s">
        <v>804</v>
      </c>
      <c r="BR47" t="str">
        <f t="shared" si="2"/>
        <v/>
      </c>
      <c r="BS47" t="str">
        <f t="shared" si="3"/>
        <v>{BLACK}Tare speed: {GOLD}{VELOCITY}{}{SILVER}Six wheeled tank wagons formed the core of the GWR (and later BR) "milk trains", long freight consists transporting milk from farms to cities.</v>
      </c>
    </row>
    <row r="48" spans="1:71" x14ac:dyDescent="0.25">
      <c r="A48" t="s">
        <v>801</v>
      </c>
      <c r="B48" t="s">
        <v>780</v>
      </c>
      <c r="C48">
        <v>97</v>
      </c>
      <c r="D48" t="s">
        <v>323</v>
      </c>
      <c r="E48" t="s">
        <v>323</v>
      </c>
      <c r="F48" t="s">
        <v>316</v>
      </c>
      <c r="G48">
        <v>1966</v>
      </c>
      <c r="T48">
        <v>12</v>
      </c>
      <c r="V48">
        <v>7</v>
      </c>
      <c r="X48" s="4" t="str">
        <f>IF(AND(T48&gt;0,W48&gt;0),(W48/((T48+U48)*10)),"")</f>
        <v/>
      </c>
      <c r="Y48">
        <v>65</v>
      </c>
      <c r="AA48">
        <v>9.8000000000000007</v>
      </c>
      <c r="AB48">
        <v>9.8000000000000007</v>
      </c>
      <c r="AE48" s="11">
        <v>33</v>
      </c>
      <c r="AF48" t="str">
        <f>CONCATENATE(VLOOKUP(AG48, 'Voxel Sizes'!$A$2:$B$18,2,FALSE),"x",INT(AC48*15), "x", INT(AD48*15))</f>
        <v>102x0x0</v>
      </c>
      <c r="AG48">
        <f>ROUND(15*((AB48*10)/256),0)</f>
        <v>6</v>
      </c>
      <c r="AI48" t="str">
        <f>CONCATENATE(VLOOKUP(AG48,Constants!$A$2:$C$16,IF(AH48&lt;&gt;"", 3, 2), FALSE),IF(AH48&lt;&gt;"",CONCATENATE(",",VLOOKUP(AH48,$B:$AI,34,FALSE)),""))</f>
        <v>2,2,2</v>
      </c>
      <c r="AP48">
        <v>40</v>
      </c>
      <c r="AQ48" t="str">
        <f>IF(I48&lt;&gt;"",MAX(8,(I48-G48)-4),"")</f>
        <v/>
      </c>
      <c r="AT48">
        <f>MIN(Y48/150, 1)*30</f>
        <v>13</v>
      </c>
      <c r="AU48">
        <f>MIN(K48/4000, 1)*20</f>
        <v>0</v>
      </c>
      <c r="AV48">
        <f>MIN(W48/400,1)*20</f>
        <v>0</v>
      </c>
      <c r="AW48" s="4">
        <v>1</v>
      </c>
      <c r="AX48">
        <f>((MAX($J48,1)*MIN($AE48/300,1)))*IF(D48="Wagon",50,10)</f>
        <v>5.5</v>
      </c>
      <c r="AY48">
        <f>VLOOKUP($E48,Constants!$I:$K, 2, FALSE)</f>
        <v>1</v>
      </c>
      <c r="AZ48">
        <f>VLOOKUP($E48,Constants!$I:$K, 3, FALSE)*IF(AND(D48="multiple_unit",Y48&lt;110),0.75,1)</f>
        <v>0.45</v>
      </c>
      <c r="BA48">
        <f>INT(POWER(((Constants!$G$2+$AT48+$AU48+$AV48+$AX48)*$AW48)*$AZ48, 1.05))+$AS48</f>
        <v>11</v>
      </c>
      <c r="BB48">
        <f>INT(((Constants!$G$1+$AT48+$AU48+$AV48+$AX48)*(1/$AW48))*$AY48)+$AR48</f>
        <v>53</v>
      </c>
      <c r="BD48">
        <f>INT(Y48*1.25)</f>
        <v>81</v>
      </c>
      <c r="BJ48" t="s">
        <v>385</v>
      </c>
      <c r="BK48" t="s">
        <v>326</v>
      </c>
      <c r="BL48" t="str">
        <f>VLOOKUP(G48,Eras!$A$2:$C$10, 2, TRUE)</f>
        <v>dsl</v>
      </c>
      <c r="BM48" t="s">
        <v>385</v>
      </c>
      <c r="BN48" t="str">
        <f>CONCATENATE(BL48,"_",BM48)</f>
        <v>dsl_Tanker</v>
      </c>
      <c r="BO48" t="str">
        <f t="shared" si="0"/>
        <v>{BLACK}Tare speed: {GOLD}{VELOCITY}{}</v>
      </c>
      <c r="BP48" t="str">
        <f t="shared" si="1"/>
        <v/>
      </c>
      <c r="BQ48" t="s">
        <v>778</v>
      </c>
      <c r="BR48" t="str">
        <f t="shared" si="2"/>
        <v/>
      </c>
      <c r="BS48" t="str">
        <f t="shared" si="3"/>
        <v>{BLACK}Tare speed: {GOLD}{VELOCITY}{}{SILVER}TTA tankers were constructed on "monobloc" principles and featured automatic braking.</v>
      </c>
    </row>
    <row r="49" spans="1:71" x14ac:dyDescent="0.25">
      <c r="A49" t="s">
        <v>802</v>
      </c>
      <c r="B49" t="s">
        <v>781</v>
      </c>
      <c r="C49">
        <v>99</v>
      </c>
      <c r="D49" t="s">
        <v>323</v>
      </c>
      <c r="E49" t="s">
        <v>323</v>
      </c>
      <c r="F49" t="s">
        <v>316</v>
      </c>
      <c r="G49">
        <v>1970</v>
      </c>
      <c r="T49">
        <v>24</v>
      </c>
      <c r="V49">
        <v>8</v>
      </c>
      <c r="X49" s="4" t="str">
        <f>IF(AND(T49&gt;0,W49&gt;0),(W49/((T49+U49)*10)),"")</f>
        <v/>
      </c>
      <c r="Y49">
        <v>70</v>
      </c>
      <c r="AA49">
        <v>17.7</v>
      </c>
      <c r="AB49">
        <v>17.7</v>
      </c>
      <c r="AE49" s="11">
        <v>78</v>
      </c>
      <c r="AF49" t="str">
        <f>CONCATENATE(VLOOKUP(AG49, 'Voxel Sizes'!$A$2:$B$18,2,FALSE),"x",INT(AC49*15), "x", INT(AD49*15))</f>
        <v>164x0x0</v>
      </c>
      <c r="AG49">
        <f>ROUND(15*((AB49*10)/256),0)</f>
        <v>10</v>
      </c>
      <c r="AI49" t="str">
        <f>CONCATENATE(VLOOKUP(AG49,Constants!$A$2:$C$16,IF(AH49&lt;&gt;"", 3, 2), FALSE),IF(AH49&lt;&gt;"",CONCATENATE(",",VLOOKUP(AH49,$B:$AI,34,FALSE)),""))</f>
        <v>4,2,4</v>
      </c>
      <c r="AP49">
        <v>40</v>
      </c>
      <c r="AQ49" t="str">
        <f>IF(I49&lt;&gt;"",MAX(8,(I49-G49)-4),"")</f>
        <v/>
      </c>
      <c r="AT49">
        <f>MIN(Y49/150, 1)*30</f>
        <v>14</v>
      </c>
      <c r="AU49">
        <f>MIN(K49/4000, 1)*20</f>
        <v>0</v>
      </c>
      <c r="AV49">
        <f>MIN(W49/400,1)*20</f>
        <v>0</v>
      </c>
      <c r="AW49" s="4">
        <v>1</v>
      </c>
      <c r="AX49">
        <f>((MAX($J49,1)*MIN($AE49/300,1)))*IF(D49="Wagon",50,10)</f>
        <v>13</v>
      </c>
      <c r="AY49">
        <f>VLOOKUP($E49,Constants!$I:$K, 2, FALSE)</f>
        <v>1</v>
      </c>
      <c r="AZ49">
        <f>VLOOKUP($E49,Constants!$I:$K, 3, FALSE)*IF(AND(D49="multiple_unit",Y49&lt;110),0.75,1)</f>
        <v>0.45</v>
      </c>
      <c r="BA49">
        <f>INT(POWER(((Constants!$G$2+$AT49+$AU49+$AV49+$AX49)*$AW49)*$AZ49, 1.05))+$AS49</f>
        <v>16</v>
      </c>
      <c r="BB49">
        <f>INT(((Constants!$G$1+$AT49+$AU49+$AV49+$AX49)*(1/$AW49))*$AY49)+$AR49</f>
        <v>62</v>
      </c>
      <c r="BD49">
        <f>INT(Y49*1.25)</f>
        <v>87</v>
      </c>
      <c r="BJ49" t="s">
        <v>385</v>
      </c>
      <c r="BK49" t="s">
        <v>326</v>
      </c>
      <c r="BL49" t="str">
        <f>VLOOKUP(G49,Eras!$A$2:$C$10, 2, TRUE)</f>
        <v>lbr</v>
      </c>
      <c r="BM49" t="s">
        <v>385</v>
      </c>
      <c r="BN49" t="str">
        <f>CONCATENATE(BL49,"_",BM49)</f>
        <v>lbr_Tanker</v>
      </c>
      <c r="BO49" t="str">
        <f t="shared" si="0"/>
        <v>{BLACK}Tare speed: {GOLD}{VELOCITY}{}</v>
      </c>
      <c r="BP49" t="str">
        <f t="shared" si="1"/>
        <v/>
      </c>
      <c r="BQ49" t="s">
        <v>779</v>
      </c>
      <c r="BR49" t="str">
        <f t="shared" si="2"/>
        <v/>
      </c>
      <c r="BS49" t="str">
        <f t="shared" si="3"/>
        <v>{BLACK}Tare speed: {GOLD}{VELOCITY}{}{SILVER}Large bogie tankers allowed for carrying heavy loads of liquids at high speeds. The long frames allow tanks to take up more space without fouling axles.</v>
      </c>
    </row>
    <row r="50" spans="1:71" x14ac:dyDescent="0.25">
      <c r="A50" t="s">
        <v>872</v>
      </c>
      <c r="B50" t="s">
        <v>246</v>
      </c>
      <c r="C50">
        <v>100</v>
      </c>
      <c r="D50" t="s">
        <v>323</v>
      </c>
      <c r="E50" t="s">
        <v>323</v>
      </c>
      <c r="F50" t="s">
        <v>316</v>
      </c>
      <c r="G50">
        <v>1850</v>
      </c>
      <c r="I50">
        <v>1925</v>
      </c>
      <c r="T50">
        <v>8</v>
      </c>
      <c r="V50">
        <v>5</v>
      </c>
      <c r="X50" s="4" t="str">
        <f>IF(AND(T50&gt;0,W50&gt;0),(W50/((T50+U50)*10)),"")</f>
        <v/>
      </c>
      <c r="Y50">
        <v>40</v>
      </c>
      <c r="AA50">
        <v>6</v>
      </c>
      <c r="AB50">
        <v>6</v>
      </c>
      <c r="AE50" s="11">
        <v>18</v>
      </c>
      <c r="AF50" t="str">
        <f>CONCATENATE(VLOOKUP(AG50, 'Voxel Sizes'!$A$2:$B$18,2,FALSE),"x",INT(AC50*15), "x", INT(AD50*15))</f>
        <v>60x0x0</v>
      </c>
      <c r="AG50">
        <f>ROUND(15*((AB50*10)/256),0)</f>
        <v>4</v>
      </c>
      <c r="AI50" t="str">
        <f>CONCATENATE(VLOOKUP(AG50,Constants!$A$2:$C$16,IF(AH50&lt;&gt;"", 3, 2), FALSE),IF(AH50&lt;&gt;"",CONCATENATE(",",VLOOKUP(AH50,$B:$AI,34,FALSE)),""))</f>
        <v>1,2,1</v>
      </c>
      <c r="AP50">
        <v>40</v>
      </c>
      <c r="AQ50">
        <f>IF(I50&lt;&gt;"",MAX(8,(I50-G50)-4),"")</f>
        <v>71</v>
      </c>
      <c r="AT50">
        <f>MIN(Y50/150, 1)*30</f>
        <v>8</v>
      </c>
      <c r="AU50">
        <f>MIN(K50/4000, 1)*20</f>
        <v>0</v>
      </c>
      <c r="AV50">
        <f>MIN(W50/400,1)*20</f>
        <v>0</v>
      </c>
      <c r="AW50" s="4">
        <v>1</v>
      </c>
      <c r="AX50">
        <f>((MAX($J50,1)*MIN($AE50/300,1)))*IF(D50="Wagon",50,10)</f>
        <v>3</v>
      </c>
      <c r="AY50">
        <f>VLOOKUP($E50,Constants!$I:$K, 2, FALSE)</f>
        <v>1</v>
      </c>
      <c r="AZ50">
        <f>VLOOKUP($E50,Constants!$I:$K, 3, FALSE)*IF(AND(D50="multiple_unit",Y50&lt;110),0.75,1)</f>
        <v>0.45</v>
      </c>
      <c r="BA50">
        <f>INT(POWER(((Constants!$G$2+$AT50+$AU50+$AV50+$AX50)*$AW50)*$AZ50, 1.05))+$AS50</f>
        <v>7</v>
      </c>
      <c r="BB50">
        <f>INT(((Constants!$G$1+$AT50+$AU50+$AV50+$AX50)*(1/$AW50))*$AY50)+$AR50</f>
        <v>46</v>
      </c>
      <c r="BD50">
        <f>INT(Y50*1.25)</f>
        <v>50</v>
      </c>
      <c r="BJ50" t="s">
        <v>974</v>
      </c>
      <c r="BK50" t="s">
        <v>821</v>
      </c>
      <c r="BL50" t="str">
        <f>VLOOKUP(G50,Eras!$A$2:$C$10, 2, TRUE)</f>
        <v>vct</v>
      </c>
      <c r="BM50" t="s">
        <v>384</v>
      </c>
      <c r="BN50" t="str">
        <f>CONCATENATE(BL50,"_",BM50)</f>
        <v>vct_Van</v>
      </c>
      <c r="BO50" t="str">
        <f t="shared" si="0"/>
        <v>{BLACK}Tare speed: {GOLD}{VELOCITY}{}</v>
      </c>
      <c r="BP50" t="str">
        <f t="shared" si="1"/>
        <v/>
      </c>
      <c r="BQ50" t="s">
        <v>820</v>
      </c>
      <c r="BR50" t="str">
        <f t="shared" si="2"/>
        <v/>
      </c>
      <c r="BS50" t="str">
        <f t="shared" si="3"/>
        <v>{BLACK}Tare speed: {GOLD}{VELOCITY}{}{SILVER}Livestock traffic was common early on in railway history, with specialised cattle wagons and stations equipped to handle loading and unloading.</v>
      </c>
    </row>
    <row r="51" spans="1:71" x14ac:dyDescent="0.25">
      <c r="A51" t="s">
        <v>873</v>
      </c>
      <c r="B51" t="s">
        <v>822</v>
      </c>
      <c r="C51">
        <v>101</v>
      </c>
      <c r="D51" t="s">
        <v>323</v>
      </c>
      <c r="E51" t="s">
        <v>323</v>
      </c>
      <c r="F51" t="s">
        <v>316</v>
      </c>
      <c r="G51">
        <v>1905</v>
      </c>
      <c r="I51">
        <v>1955</v>
      </c>
      <c r="T51">
        <v>10</v>
      </c>
      <c r="V51">
        <v>5</v>
      </c>
      <c r="X51" s="4" t="str">
        <f>IF(AND(T51&gt;0,W51&gt;0),(W51/((T51+U51)*10)),"")</f>
        <v/>
      </c>
      <c r="Y51">
        <v>45</v>
      </c>
      <c r="AA51">
        <v>8.9</v>
      </c>
      <c r="AB51">
        <v>8.9</v>
      </c>
      <c r="AE51" s="11">
        <v>24</v>
      </c>
      <c r="AF51" t="str">
        <f>CONCATENATE(VLOOKUP(AG51, 'Voxel Sizes'!$A$2:$B$18,2,FALSE),"x",INT(AC51*15), "x", INT(AD51*15))</f>
        <v>82x0x0</v>
      </c>
      <c r="AG51">
        <f>ROUND(15*((AB51*10)/256),0)</f>
        <v>5</v>
      </c>
      <c r="AI51" t="str">
        <f>CONCATENATE(VLOOKUP(AG51,Constants!$A$2:$C$16,IF(AH51&lt;&gt;"", 3, 2), FALSE),IF(AH51&lt;&gt;"",CONCATENATE(",",VLOOKUP(AH51,$B:$AI,34,FALSE)),""))</f>
        <v>2,1,2</v>
      </c>
      <c r="AP51">
        <v>40</v>
      </c>
      <c r="AQ51">
        <f>IF(I51&lt;&gt;"",MAX(8,(I51-G51)-4),"")</f>
        <v>46</v>
      </c>
      <c r="AT51">
        <f>MIN(Y51/150, 1)*30</f>
        <v>9</v>
      </c>
      <c r="AU51">
        <f>MIN(K51/4000, 1)*20</f>
        <v>0</v>
      </c>
      <c r="AV51">
        <f>MIN(W51/400,1)*20</f>
        <v>0</v>
      </c>
      <c r="AW51" s="4">
        <v>1</v>
      </c>
      <c r="AX51">
        <f>((MAX($J51,1)*MIN($AE51/300,1)))*IF(D51="Wagon",50,10)</f>
        <v>4</v>
      </c>
      <c r="AY51">
        <f>VLOOKUP($E51,Constants!$I:$K, 2, FALSE)</f>
        <v>1</v>
      </c>
      <c r="AZ51">
        <f>VLOOKUP($E51,Constants!$I:$K, 3, FALSE)*IF(AND(D51="multiple_unit",Y51&lt;110),0.75,1)</f>
        <v>0.45</v>
      </c>
      <c r="BA51">
        <f>INT(POWER(((Constants!$G$2+$AT51+$AU51+$AV51+$AX51)*$AW51)*$AZ51, 1.05))+$AS51</f>
        <v>8</v>
      </c>
      <c r="BB51">
        <f>INT(((Constants!$G$1+$AT51+$AU51+$AV51+$AX51)*(1/$AW51))*$AY51)+$AR51</f>
        <v>48</v>
      </c>
      <c r="BD51">
        <f>INT(Y51*1.25)</f>
        <v>56</v>
      </c>
      <c r="BJ51" t="s">
        <v>974</v>
      </c>
      <c r="BK51" t="s">
        <v>821</v>
      </c>
      <c r="BL51" t="str">
        <f>VLOOKUP(G51,Eras!$A$2:$C$10, 2, TRUE)</f>
        <v>edw</v>
      </c>
      <c r="BM51" t="s">
        <v>384</v>
      </c>
      <c r="BN51" t="str">
        <f>CONCATENATE(BL51,"_",BM51)</f>
        <v>edw_Van</v>
      </c>
      <c r="BO51" t="str">
        <f t="shared" si="0"/>
        <v>{BLACK}Tare speed: {GOLD}{VELOCITY}{}</v>
      </c>
      <c r="BP51" t="str">
        <f t="shared" si="1"/>
        <v/>
      </c>
      <c r="BQ51" t="s">
        <v>824</v>
      </c>
      <c r="BR51" t="str">
        <f t="shared" si="2"/>
        <v/>
      </c>
      <c r="BS51" t="str">
        <f t="shared" si="3"/>
        <v>{BLACK}Tare speed: {GOLD}{VELOCITY}{}{SILVER}Livestock vans evolved along with improvements in covered van design.</v>
      </c>
    </row>
    <row r="52" spans="1:71" x14ac:dyDescent="0.25">
      <c r="A52" t="s">
        <v>874</v>
      </c>
      <c r="B52" t="s">
        <v>823</v>
      </c>
      <c r="C52">
        <v>102</v>
      </c>
      <c r="D52" t="s">
        <v>323</v>
      </c>
      <c r="E52" t="s">
        <v>323</v>
      </c>
      <c r="F52" t="s">
        <v>316</v>
      </c>
      <c r="G52">
        <v>1930</v>
      </c>
      <c r="I52">
        <v>1975</v>
      </c>
      <c r="T52">
        <v>10</v>
      </c>
      <c r="V52">
        <v>5</v>
      </c>
      <c r="X52" s="4" t="str">
        <f>IF(AND(T52&gt;0,W52&gt;0),(W52/((T52+U52)*10)),"")</f>
        <v/>
      </c>
      <c r="Y52">
        <v>50</v>
      </c>
      <c r="AA52">
        <v>8.9</v>
      </c>
      <c r="AB52">
        <v>8.9</v>
      </c>
      <c r="AE52" s="11">
        <v>24</v>
      </c>
      <c r="AF52" t="str">
        <f>CONCATENATE(VLOOKUP(AG52, 'Voxel Sizes'!$A$2:$B$18,2,FALSE),"x",INT(AC52*15), "x", INT(AD52*15))</f>
        <v>82x0x0</v>
      </c>
      <c r="AG52">
        <f>ROUND(15*((AB52*10)/256),0)</f>
        <v>5</v>
      </c>
      <c r="AI52" t="str">
        <f>CONCATENATE(VLOOKUP(AG52,Constants!$A$2:$C$16,IF(AH52&lt;&gt;"", 3, 2), FALSE),IF(AH52&lt;&gt;"",CONCATENATE(",",VLOOKUP(AH52,$B:$AI,34,FALSE)),""))</f>
        <v>2,1,2</v>
      </c>
      <c r="AP52">
        <v>40</v>
      </c>
      <c r="AQ52">
        <f>IF(I52&lt;&gt;"",MAX(8,(I52-G52)-4),"")</f>
        <v>41</v>
      </c>
      <c r="AT52">
        <f>MIN(Y52/150, 1)*30</f>
        <v>10</v>
      </c>
      <c r="AU52">
        <f>MIN(K52/4000, 1)*20</f>
        <v>0</v>
      </c>
      <c r="AV52">
        <f>MIN(W52/400,1)*20</f>
        <v>0</v>
      </c>
      <c r="AW52" s="4">
        <v>1</v>
      </c>
      <c r="AX52">
        <f>((MAX($J52,1)*MIN($AE52/300,1)))*IF(D52="Wagon",50,10)</f>
        <v>4</v>
      </c>
      <c r="AY52">
        <f>VLOOKUP($E52,Constants!$I:$K, 2, FALSE)</f>
        <v>1</v>
      </c>
      <c r="AZ52">
        <f>VLOOKUP($E52,Constants!$I:$K, 3, FALSE)*IF(AND(D52="multiple_unit",Y52&lt;110),0.75,1)</f>
        <v>0.45</v>
      </c>
      <c r="BA52">
        <f>INT(POWER(((Constants!$G$2+$AT52+$AU52+$AV52+$AX52)*$AW52)*$AZ52, 1.05))+$AS52</f>
        <v>9</v>
      </c>
      <c r="BB52">
        <f>INT(((Constants!$G$1+$AT52+$AU52+$AV52+$AX52)*(1/$AW52))*$AY52)+$AR52</f>
        <v>49</v>
      </c>
      <c r="BD52">
        <f>INT(Y52*1.25)</f>
        <v>62</v>
      </c>
      <c r="BJ52" t="s">
        <v>974</v>
      </c>
      <c r="BK52" t="s">
        <v>821</v>
      </c>
      <c r="BL52" t="str">
        <f>VLOOKUP(G52,Eras!$A$2:$C$10, 2, TRUE)</f>
        <v>big4</v>
      </c>
      <c r="BM52" t="s">
        <v>384</v>
      </c>
      <c r="BN52" t="str">
        <f>CONCATENATE(BL52,"_",BM52)</f>
        <v>big4_Van</v>
      </c>
      <c r="BO52" t="str">
        <f t="shared" si="0"/>
        <v>{BLACK}Tare speed: {GOLD}{VELOCITY}{}</v>
      </c>
      <c r="BP52" t="str">
        <f t="shared" si="1"/>
        <v/>
      </c>
      <c r="BQ52" t="s">
        <v>825</v>
      </c>
      <c r="BR52" t="str">
        <f t="shared" si="2"/>
        <v/>
      </c>
      <c r="BS52" t="str">
        <f t="shared" si="3"/>
        <v>{BLACK}Tare speed: {GOLD}{VELOCITY}{}{SILVER}Specialised cattle vans such as this Southern Railway example were built from the 1930s to the 1950s, although livestock traffic reduced in the latter part of this period.</v>
      </c>
    </row>
    <row r="53" spans="1:71" x14ac:dyDescent="0.25">
      <c r="A53" t="s">
        <v>875</v>
      </c>
      <c r="B53" t="s">
        <v>826</v>
      </c>
      <c r="C53">
        <v>103</v>
      </c>
      <c r="D53" t="s">
        <v>323</v>
      </c>
      <c r="E53" t="s">
        <v>323</v>
      </c>
      <c r="F53" t="s">
        <v>316</v>
      </c>
      <c r="G53">
        <v>1960</v>
      </c>
      <c r="I53">
        <v>1990</v>
      </c>
      <c r="T53">
        <v>14</v>
      </c>
      <c r="V53">
        <v>5</v>
      </c>
      <c r="X53" s="4" t="str">
        <f>IF(AND(T53&gt;0,W53&gt;0),(W53/((T53+U53)*10)),"")</f>
        <v/>
      </c>
      <c r="Y53">
        <v>65</v>
      </c>
      <c r="AA53">
        <v>10.6</v>
      </c>
      <c r="AB53">
        <v>10.6</v>
      </c>
      <c r="AE53" s="11">
        <v>39</v>
      </c>
      <c r="AF53" t="str">
        <f>CONCATENATE(VLOOKUP(AG53, 'Voxel Sizes'!$A$2:$B$18,2,FALSE),"x",INT(AC53*15), "x", INT(AD53*15))</f>
        <v>102x0x0</v>
      </c>
      <c r="AG53">
        <f>ROUND(15*((AB53*10)/256),0)</f>
        <v>6</v>
      </c>
      <c r="AI53" t="str">
        <f>CONCATENATE(VLOOKUP(AG53,Constants!$A$2:$C$16,IF(AH53&lt;&gt;"", 3, 2), FALSE),IF(AH53&lt;&gt;"",CONCATENATE(",",VLOOKUP(AH53,$B:$AI,34,FALSE)),""))</f>
        <v>2,2,2</v>
      </c>
      <c r="AP53">
        <v>40</v>
      </c>
      <c r="AQ53">
        <f>IF(I53&lt;&gt;"",MAX(8,(I53-G53)-4),"")</f>
        <v>26</v>
      </c>
      <c r="AT53">
        <f>MIN(Y53/150, 1)*30</f>
        <v>13</v>
      </c>
      <c r="AU53">
        <f>MIN(K53/4000, 1)*20</f>
        <v>0</v>
      </c>
      <c r="AV53">
        <f>MIN(W53/400,1)*20</f>
        <v>0</v>
      </c>
      <c r="AW53" s="4">
        <v>1</v>
      </c>
      <c r="AX53">
        <f>((MAX($J53,1)*MIN($AE53/300,1)))*IF(D53="Wagon",50,10)</f>
        <v>6.5</v>
      </c>
      <c r="AY53">
        <f>VLOOKUP($E53,Constants!$I:$K, 2, FALSE)</f>
        <v>1</v>
      </c>
      <c r="AZ53">
        <f>VLOOKUP($E53,Constants!$I:$K, 3, FALSE)*IF(AND(D53="multiple_unit",Y53&lt;110),0.75,1)</f>
        <v>0.45</v>
      </c>
      <c r="BA53">
        <f>INT(POWER(((Constants!$G$2+$AT53+$AU53+$AV53+$AX53)*$AW53)*$AZ53, 1.05))+$AS53</f>
        <v>12</v>
      </c>
      <c r="BB53">
        <f>INT(((Constants!$G$1+$AT53+$AU53+$AV53+$AX53)*(1/$AW53))*$AY53)+$AR53</f>
        <v>54</v>
      </c>
      <c r="BD53">
        <f>INT(Y53*1.25)</f>
        <v>81</v>
      </c>
      <c r="BJ53" t="s">
        <v>974</v>
      </c>
      <c r="BK53" t="s">
        <v>821</v>
      </c>
      <c r="BL53" t="str">
        <f>VLOOKUP(G53,Eras!$A$2:$C$10, 2, TRUE)</f>
        <v>dsl</v>
      </c>
      <c r="BM53" t="s">
        <v>384</v>
      </c>
      <c r="BN53" t="str">
        <f>CONCATENATE(BL53,"_",BM53)</f>
        <v>dsl_Van</v>
      </c>
      <c r="BO53" t="str">
        <f t="shared" si="0"/>
        <v>{BLACK}Tare speed: {GOLD}{VELOCITY}{}</v>
      </c>
      <c r="BP53" t="str">
        <f t="shared" si="1"/>
        <v/>
      </c>
      <c r="BQ53" t="s">
        <v>829</v>
      </c>
      <c r="BR53" t="str">
        <f t="shared" si="2"/>
        <v/>
      </c>
      <c r="BS53" t="str">
        <f t="shared" si="3"/>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4" spans="1:71" x14ac:dyDescent="0.25">
      <c r="A54" t="s">
        <v>876</v>
      </c>
      <c r="B54" t="s">
        <v>827</v>
      </c>
      <c r="C54">
        <v>104</v>
      </c>
      <c r="D54" t="s">
        <v>323</v>
      </c>
      <c r="E54" t="s">
        <v>323</v>
      </c>
      <c r="F54" t="s">
        <v>316</v>
      </c>
      <c r="G54">
        <v>1990</v>
      </c>
      <c r="T54">
        <v>16</v>
      </c>
      <c r="V54">
        <v>5</v>
      </c>
      <c r="X54" s="4" t="str">
        <f>IF(AND(T54&gt;0,W54&gt;0),(W54/((T54+U54)*10)),"")</f>
        <v/>
      </c>
      <c r="Y54">
        <v>75</v>
      </c>
      <c r="AA54">
        <v>12.2</v>
      </c>
      <c r="AB54">
        <v>12.2</v>
      </c>
      <c r="AE54" s="11">
        <v>39</v>
      </c>
      <c r="AF54" t="str">
        <f>CONCATENATE(VLOOKUP(AG54, 'Voxel Sizes'!$A$2:$B$18,2,FALSE),"x",INT(AC54*15), "x", INT(AD54*15))</f>
        <v>120x0x0</v>
      </c>
      <c r="AG54">
        <f>ROUND(15*((AB54*10)/256),0)</f>
        <v>7</v>
      </c>
      <c r="AI54" t="str">
        <f>CONCATENATE(VLOOKUP(AG54,Constants!$A$2:$C$16,IF(AH54&lt;&gt;"", 3, 2), FALSE),IF(AH54&lt;&gt;"",CONCATENATE(",",VLOOKUP(AH54,$B:$AI,34,FALSE)),""))</f>
        <v>2,3,2</v>
      </c>
      <c r="AP54">
        <v>40</v>
      </c>
      <c r="AQ54" t="str">
        <f>IF(I54&lt;&gt;"",MAX(8,(I54-G54)-4),"")</f>
        <v/>
      </c>
      <c r="AT54">
        <f>MIN(Y54/150, 1)*30</f>
        <v>15</v>
      </c>
      <c r="AU54">
        <f>MIN(K54/4000, 1)*20</f>
        <v>0</v>
      </c>
      <c r="AV54">
        <f>MIN(W54/400,1)*20</f>
        <v>0</v>
      </c>
      <c r="AW54" s="4">
        <v>1</v>
      </c>
      <c r="AX54">
        <f>((MAX($J54,1)*MIN($AE54/300,1)))*IF(D54="Wagon",50,10)</f>
        <v>6.5</v>
      </c>
      <c r="AY54">
        <f>VLOOKUP($E54,Constants!$I:$K, 2, FALSE)</f>
        <v>1</v>
      </c>
      <c r="AZ54">
        <f>VLOOKUP($E54,Constants!$I:$K, 3, FALSE)*IF(AND(D54="multiple_unit",Y54&lt;110),0.75,1)</f>
        <v>0.45</v>
      </c>
      <c r="BA54">
        <f>INT(POWER(((Constants!$G$2+$AT54+$AU54+$AV54+$AX54)*$AW54)*$AZ54, 1.05))+$AS54</f>
        <v>13</v>
      </c>
      <c r="BB54">
        <f>INT(((Constants!$G$1+$AT54+$AU54+$AV54+$AX54)*(1/$AW54))*$AY54)+$AR54</f>
        <v>56</v>
      </c>
      <c r="BD54">
        <f>INT(Y54*1.25)</f>
        <v>93</v>
      </c>
      <c r="BJ54" t="s">
        <v>974</v>
      </c>
      <c r="BK54" t="s">
        <v>821</v>
      </c>
      <c r="BL54" t="str">
        <f>VLOOKUP(G54,Eras!$A$2:$C$10, 2, TRUE)</f>
        <v>lbr</v>
      </c>
      <c r="BM54" t="s">
        <v>384</v>
      </c>
      <c r="BN54" t="str">
        <f>CONCATENATE(BL54,"_",BM54)</f>
        <v>lbr_Van</v>
      </c>
      <c r="BO54" t="str">
        <f t="shared" si="0"/>
        <v>{BLACK}Tare speed: {GOLD}{VELOCITY}{}</v>
      </c>
      <c r="BP54" t="str">
        <f t="shared" si="1"/>
        <v/>
      </c>
      <c r="BQ54" t="s">
        <v>828</v>
      </c>
      <c r="BR54" t="str">
        <f t="shared" si="2"/>
        <v/>
      </c>
      <c r="BS54" t="str">
        <f t="shared" si="3"/>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5" spans="1:71" x14ac:dyDescent="0.25">
      <c r="A55" t="s">
        <v>817</v>
      </c>
      <c r="B55" t="s">
        <v>818</v>
      </c>
      <c r="C55">
        <v>112</v>
      </c>
      <c r="D55" t="s">
        <v>323</v>
      </c>
      <c r="E55" t="s">
        <v>323</v>
      </c>
      <c r="F55" t="s">
        <v>316</v>
      </c>
      <c r="G55">
        <v>1850</v>
      </c>
      <c r="I55">
        <v>1930</v>
      </c>
      <c r="T55">
        <v>8</v>
      </c>
      <c r="V55">
        <v>5</v>
      </c>
      <c r="X55" s="4" t="str">
        <f>IF(AND(T55&gt;0,W55&gt;0),(W55/((T55+U55)*10)),"")</f>
        <v/>
      </c>
      <c r="Y55">
        <v>45</v>
      </c>
      <c r="AA55">
        <v>6</v>
      </c>
      <c r="AB55">
        <v>6</v>
      </c>
      <c r="AE55" s="11">
        <v>18</v>
      </c>
      <c r="AF55" t="str">
        <f>CONCATENATE(VLOOKUP(AG55, 'Voxel Sizes'!$A$2:$B$18,2,FALSE),"x",INT(AC55*15), "x", INT(AD55*15))</f>
        <v>60x0x0</v>
      </c>
      <c r="AG55">
        <f>ROUND(15*((AB55*10)/256),0)</f>
        <v>4</v>
      </c>
      <c r="AI55" t="str">
        <f>CONCATENATE(VLOOKUP(AG55,Constants!$A$2:$C$16,IF(AH55&lt;&gt;"", 3, 2), FALSE),IF(AH55&lt;&gt;"",CONCATENATE(",",VLOOKUP(AH55,$B:$AI,34,FALSE)),""))</f>
        <v>1,2,1</v>
      </c>
      <c r="AP55">
        <v>40</v>
      </c>
      <c r="AQ55">
        <f>IF(I55&lt;&gt;"",MAX(8,(I55-G55)-4),"")</f>
        <v>76</v>
      </c>
      <c r="AT55">
        <f>MIN(Y55/150, 1)*30</f>
        <v>9</v>
      </c>
      <c r="AU55">
        <f>MIN(K55/4000, 1)*20</f>
        <v>0</v>
      </c>
      <c r="AV55">
        <f>MIN(W55/400,1)*20</f>
        <v>0</v>
      </c>
      <c r="AW55" s="4">
        <v>1</v>
      </c>
      <c r="AX55">
        <f>((MAX($J55,1)*MIN($AE55/300,1)))*IF(D55="Wagon",50,10)</f>
        <v>3</v>
      </c>
      <c r="AY55">
        <f>VLOOKUP($E55,Constants!$I:$K, 2, FALSE)</f>
        <v>1</v>
      </c>
      <c r="AZ55">
        <f>VLOOKUP($E55,Constants!$I:$K, 3, FALSE)*IF(AND(D55="multiple_unit",Y55&lt;110),0.75,1)</f>
        <v>0.45</v>
      </c>
      <c r="BA55">
        <f>INT(POWER(((Constants!$G$2+$AT55+$AU55+$AV55+$AX55)*$AW55)*$AZ55, 1.05))+$AS55</f>
        <v>8</v>
      </c>
      <c r="BB55">
        <f>INT(((Constants!$G$1+$AT55+$AU55+$AV55+$AX55)*(1/$AW55))*$AY55)+$AR55</f>
        <v>47</v>
      </c>
      <c r="BD55">
        <f>INT(Y55*1.25)</f>
        <v>56</v>
      </c>
      <c r="BJ55" t="s">
        <v>384</v>
      </c>
      <c r="BK55" t="s">
        <v>328</v>
      </c>
      <c r="BL55" t="str">
        <f>VLOOKUP(G55,Eras!$A$2:$C$10, 2, TRUE)</f>
        <v>vct</v>
      </c>
      <c r="BM55" t="s">
        <v>384</v>
      </c>
      <c r="BN55" t="str">
        <f>CONCATENATE(BL55,"_",BM55)</f>
        <v>vct_Van</v>
      </c>
      <c r="BO55" t="str">
        <f t="shared" si="0"/>
        <v>{BLACK}Tare speed: {GOLD}{VELOCITY}{}</v>
      </c>
      <c r="BP55" t="str">
        <f t="shared" si="1"/>
        <v/>
      </c>
      <c r="BQ55" t="s">
        <v>819</v>
      </c>
      <c r="BR55" t="str">
        <f t="shared" si="2"/>
        <v/>
      </c>
      <c r="BS55" t="str">
        <f t="shared" si="3"/>
        <v>{BLACK}Tare speed: {GOLD}{VELOCITY}{}{SILVER}Piece goods were an important source of revenue for early railways, with most building large quantities of covered vans.</v>
      </c>
    </row>
    <row r="56" spans="1:71" x14ac:dyDescent="0.25">
      <c r="A56" t="s">
        <v>465</v>
      </c>
      <c r="B56" t="s">
        <v>466</v>
      </c>
      <c r="C56">
        <v>114</v>
      </c>
      <c r="D56" t="s">
        <v>323</v>
      </c>
      <c r="E56" t="s">
        <v>323</v>
      </c>
      <c r="F56" t="s">
        <v>316</v>
      </c>
      <c r="G56">
        <v>1902</v>
      </c>
      <c r="I56">
        <v>1960</v>
      </c>
      <c r="T56">
        <v>8</v>
      </c>
      <c r="V56">
        <v>5</v>
      </c>
      <c r="X56" s="4" t="str">
        <f>IF(AND(T56&gt;0,W56&gt;0),(W56/((T56+U56)*10)),"")</f>
        <v/>
      </c>
      <c r="Y56">
        <v>50</v>
      </c>
      <c r="AA56">
        <v>8</v>
      </c>
      <c r="AB56">
        <v>8</v>
      </c>
      <c r="AE56" s="11">
        <v>24</v>
      </c>
      <c r="AF56" t="str">
        <f>CONCATENATE(VLOOKUP(AG56, 'Voxel Sizes'!$A$2:$B$18,2,FALSE),"x",INT(AC56*15), "x", INT(AD56*15))</f>
        <v>82x0x0</v>
      </c>
      <c r="AG56">
        <f>ROUND(15*((AB56*10)/256),0)</f>
        <v>5</v>
      </c>
      <c r="AI56" t="str">
        <f>CONCATENATE(VLOOKUP(AG56,Constants!$A$2:$C$16,IF(AH56&lt;&gt;"", 3, 2), FALSE),IF(AH56&lt;&gt;"",CONCATENATE(",",VLOOKUP(AH56,$B:$AI,34,FALSE)),""))</f>
        <v>2,1,2</v>
      </c>
      <c r="AP56">
        <v>40</v>
      </c>
      <c r="AQ56">
        <f>IF(I56&lt;&gt;"",MAX(8,(I56-G56)-4),"")</f>
        <v>54</v>
      </c>
      <c r="AT56">
        <f>MIN(Y56/150, 1)*30</f>
        <v>10</v>
      </c>
      <c r="AU56">
        <f>MIN(K56/4000, 1)*20</f>
        <v>0</v>
      </c>
      <c r="AV56">
        <f>MIN(W56/400,1)*20</f>
        <v>0</v>
      </c>
      <c r="AW56" s="4">
        <v>1</v>
      </c>
      <c r="AX56">
        <f>((MAX($J56,1)*MIN($AE56/300,1)))*IF(D56="Wagon",50,10)</f>
        <v>4</v>
      </c>
      <c r="AY56">
        <f>VLOOKUP($E56,Constants!$I:$K, 2, FALSE)</f>
        <v>1</v>
      </c>
      <c r="AZ56">
        <f>VLOOKUP($E56,Constants!$I:$K, 3, FALSE)*IF(AND(D56="multiple_unit",Y56&lt;110),0.75,1)</f>
        <v>0.45</v>
      </c>
      <c r="BA56">
        <f>INT(POWER(((Constants!$G$2+$AT56+$AU56+$AV56+$AX56)*$AW56)*$AZ56, 1.05))+$AS56</f>
        <v>9</v>
      </c>
      <c r="BB56">
        <f>INT(((Constants!$G$1+$AT56+$AU56+$AV56+$AX56)*(1/$AW56))*$AY56)+$AR56</f>
        <v>49</v>
      </c>
      <c r="BD56">
        <f>INT(Y56*1.25)</f>
        <v>62</v>
      </c>
      <c r="BJ56" t="s">
        <v>384</v>
      </c>
      <c r="BK56" t="s">
        <v>328</v>
      </c>
      <c r="BL56" t="str">
        <f>VLOOKUP(G56,Eras!$A$2:$C$10, 2, TRUE)</f>
        <v>edw</v>
      </c>
      <c r="BM56" t="s">
        <v>384</v>
      </c>
      <c r="BN56" t="str">
        <f>CONCATENATE(BL56,"_",BM56)</f>
        <v>edw_Van</v>
      </c>
      <c r="BO56" t="str">
        <f t="shared" si="0"/>
        <v>{BLACK}Tare speed: {GOLD}{VELOCITY}{}</v>
      </c>
      <c r="BP56" t="str">
        <f t="shared" si="1"/>
        <v/>
      </c>
      <c r="BQ56" t="s">
        <v>464</v>
      </c>
      <c r="BR56" t="str">
        <f t="shared" si="2"/>
        <v/>
      </c>
      <c r="BS56" t="str">
        <f t="shared" si="3"/>
        <v>{BLACK}Tare speed: {GOLD}{VELOCITY}{}{SILVER}This goods van uses an iron frame with a wooden body, making it stronger than earlier wooden-framed vans.</v>
      </c>
    </row>
    <row r="57" spans="1:71" x14ac:dyDescent="0.25">
      <c r="A57" t="s">
        <v>805</v>
      </c>
      <c r="B57" t="s">
        <v>806</v>
      </c>
      <c r="C57">
        <v>116</v>
      </c>
      <c r="D57" t="s">
        <v>323</v>
      </c>
      <c r="E57" t="s">
        <v>323</v>
      </c>
      <c r="F57" t="s">
        <v>316</v>
      </c>
      <c r="G57">
        <v>1932</v>
      </c>
      <c r="I57">
        <v>1970</v>
      </c>
      <c r="T57">
        <v>8</v>
      </c>
      <c r="V57">
        <v>5</v>
      </c>
      <c r="X57" s="4" t="str">
        <f>IF(AND(T57&gt;0,W57&gt;0),(W57/((T57+U57)*10)),"")</f>
        <v/>
      </c>
      <c r="Y57">
        <v>60</v>
      </c>
      <c r="AA57">
        <v>8</v>
      </c>
      <c r="AB57">
        <v>8</v>
      </c>
      <c r="AE57" s="11">
        <v>27</v>
      </c>
      <c r="AF57" t="str">
        <f>CONCATENATE(VLOOKUP(AG57, 'Voxel Sizes'!$A$2:$B$18,2,FALSE),"x",INT(AC57*15), "x", INT(AD57*15))</f>
        <v>82x0x0</v>
      </c>
      <c r="AG57">
        <f>ROUND(15*((AB57*10)/256),0)</f>
        <v>5</v>
      </c>
      <c r="AI57" t="str">
        <f>CONCATENATE(VLOOKUP(AG57,Constants!$A$2:$C$16,IF(AH57&lt;&gt;"", 3, 2), FALSE),IF(AH57&lt;&gt;"",CONCATENATE(",",VLOOKUP(AH57,$B:$AI,34,FALSE)),""))</f>
        <v>2,1,2</v>
      </c>
      <c r="AP57">
        <v>40</v>
      </c>
      <c r="AQ57">
        <f>IF(I57&lt;&gt;"",MAX(8,(I57-G57)-4),"")</f>
        <v>34</v>
      </c>
      <c r="AT57">
        <f>MIN(Y57/150, 1)*30</f>
        <v>12</v>
      </c>
      <c r="AU57">
        <f>MIN(K57/4000, 1)*20</f>
        <v>0</v>
      </c>
      <c r="AV57">
        <f>MIN(W57/400,1)*20</f>
        <v>0</v>
      </c>
      <c r="AW57" s="4">
        <v>1</v>
      </c>
      <c r="AX57">
        <f>((MAX($J57,1)*MIN($AE57/300,1)))*IF(D57="Wagon",50,10)</f>
        <v>4.5</v>
      </c>
      <c r="AY57">
        <f>VLOOKUP($E57,Constants!$I:$K, 2, FALSE)</f>
        <v>1</v>
      </c>
      <c r="AZ57">
        <f>VLOOKUP($E57,Constants!$I:$K, 3, FALSE)*IF(AND(D57="multiple_unit",Y57&lt;110),0.75,1)</f>
        <v>0.45</v>
      </c>
      <c r="BA57">
        <f>INT(POWER(((Constants!$G$2+$AT57+$AU57+$AV57+$AX57)*$AW57)*$AZ57, 1.05))+$AS57</f>
        <v>10</v>
      </c>
      <c r="BB57">
        <f>INT(((Constants!$G$1+$AT57+$AU57+$AV57+$AX57)*(1/$AW57))*$AY57)+$AR57</f>
        <v>51</v>
      </c>
      <c r="BD57">
        <f>INT(Y57*1.25)</f>
        <v>75</v>
      </c>
      <c r="BJ57" t="s">
        <v>384</v>
      </c>
      <c r="BK57" t="s">
        <v>328</v>
      </c>
      <c r="BL57" t="str">
        <f>VLOOKUP(G57,Eras!$A$2:$C$10, 2, TRUE)</f>
        <v>big4</v>
      </c>
      <c r="BM57" t="s">
        <v>384</v>
      </c>
      <c r="BN57" t="str">
        <f>CONCATENATE(BL57,"_",BM57)</f>
        <v>big4_Van</v>
      </c>
      <c r="BO57" t="str">
        <f t="shared" si="0"/>
        <v>{BLACK}Tare speed: {GOLD}{VELOCITY}{}</v>
      </c>
      <c r="BP57" t="str">
        <f t="shared" si="1"/>
        <v/>
      </c>
      <c r="BQ57" t="s">
        <v>807</v>
      </c>
      <c r="BR57" t="str">
        <f t="shared" si="2"/>
        <v/>
      </c>
      <c r="BS57" t="str">
        <f t="shared" si="3"/>
        <v>{BLACK}Tare speed: {GOLD}{VELOCITY}{}{SILVER}Fitted vans had brakes which could be controlled from the locomotive or a brake van, allowing higher braking force and thus speed. This example is typical of a Southern Railways vacuum-braked model.</v>
      </c>
    </row>
    <row r="58" spans="1:71" x14ac:dyDescent="0.25">
      <c r="A58" t="s">
        <v>808</v>
      </c>
      <c r="B58" t="s">
        <v>809</v>
      </c>
      <c r="C58">
        <v>118</v>
      </c>
      <c r="D58" t="s">
        <v>323</v>
      </c>
      <c r="E58" t="s">
        <v>323</v>
      </c>
      <c r="F58" t="s">
        <v>316</v>
      </c>
      <c r="G58">
        <v>1962</v>
      </c>
      <c r="I58">
        <v>1985</v>
      </c>
      <c r="T58">
        <v>8</v>
      </c>
      <c r="V58">
        <v>7</v>
      </c>
      <c r="X58" s="4" t="str">
        <f>IF(AND(T58&gt;0,W58&gt;0),(W58/((T58+U58)*10)),"")</f>
        <v/>
      </c>
      <c r="Y58">
        <v>65</v>
      </c>
      <c r="AA58">
        <v>8</v>
      </c>
      <c r="AB58">
        <v>8</v>
      </c>
      <c r="AE58" s="11">
        <v>27</v>
      </c>
      <c r="AF58" t="str">
        <f>CONCATENATE(VLOOKUP(AG58, 'Voxel Sizes'!$A$2:$B$18,2,FALSE),"x",INT(AC58*15), "x", INT(AD58*15))</f>
        <v>82x0x0</v>
      </c>
      <c r="AG58">
        <f>ROUND(15*((AB58*10)/256),0)</f>
        <v>5</v>
      </c>
      <c r="AI58" t="str">
        <f>CONCATENATE(VLOOKUP(AG58,Constants!$A$2:$C$16,IF(AH58&lt;&gt;"", 3, 2), FALSE),IF(AH58&lt;&gt;"",CONCATENATE(",",VLOOKUP(AH58,$B:$AI,34,FALSE)),""))</f>
        <v>2,1,2</v>
      </c>
      <c r="AP58">
        <v>40</v>
      </c>
      <c r="AQ58">
        <f>IF(I58&lt;&gt;"",MAX(8,(I58-G58)-4),"")</f>
        <v>19</v>
      </c>
      <c r="AT58">
        <f>MIN(Y58/150, 1)*30</f>
        <v>13</v>
      </c>
      <c r="AU58">
        <f>MIN(K58/4000, 1)*20</f>
        <v>0</v>
      </c>
      <c r="AV58">
        <f>MIN(W58/400,1)*20</f>
        <v>0</v>
      </c>
      <c r="AW58" s="4">
        <v>1</v>
      </c>
      <c r="AX58">
        <f>((MAX($J58,1)*MIN($AE58/300,1)))*IF(D58="Wagon",50,10)</f>
        <v>4.5</v>
      </c>
      <c r="AY58">
        <f>VLOOKUP($E58,Constants!$I:$K, 2, FALSE)</f>
        <v>1</v>
      </c>
      <c r="AZ58">
        <f>VLOOKUP($E58,Constants!$I:$K, 3, FALSE)*IF(AND(D58="multiple_unit",Y58&lt;110),0.75,1)</f>
        <v>0.45</v>
      </c>
      <c r="BA58">
        <f>INT(POWER(((Constants!$G$2+$AT58+$AU58+$AV58+$AX58)*$AW58)*$AZ58, 1.05))+$AS58</f>
        <v>11</v>
      </c>
      <c r="BB58">
        <f>INT(((Constants!$G$1+$AT58+$AU58+$AV58+$AX58)*(1/$AW58))*$AY58)+$AR58</f>
        <v>52</v>
      </c>
      <c r="BD58">
        <f>INT(Y58*1.25)</f>
        <v>81</v>
      </c>
      <c r="BJ58" t="s">
        <v>384</v>
      </c>
      <c r="BK58" t="s">
        <v>328</v>
      </c>
      <c r="BL58" t="str">
        <f>VLOOKUP(G58,Eras!$A$2:$C$10, 2, TRUE)</f>
        <v>dsl</v>
      </c>
      <c r="BM58" t="s">
        <v>384</v>
      </c>
      <c r="BN58" t="str">
        <f>CONCATENATE(BL58,"_",BM58)</f>
        <v>dsl_Van</v>
      </c>
      <c r="BO58" t="str">
        <f t="shared" si="0"/>
        <v>{BLACK}Tare speed: {GOLD}{VELOCITY}{}</v>
      </c>
      <c r="BP58" t="str">
        <f t="shared" si="1"/>
        <v/>
      </c>
      <c r="BQ58" t="s">
        <v>810</v>
      </c>
      <c r="BR58" t="str">
        <f t="shared" si="2"/>
        <v/>
      </c>
      <c r="BS58" t="str">
        <f t="shared" si="3"/>
        <v>{BLACK}Tare speed: {GOLD}{VELOCITY}{}{SILVER}The Vanwide was BR's final development of the traditional van design, featuring wider doors for increased loading speed.</v>
      </c>
    </row>
    <row r="59" spans="1:71" x14ac:dyDescent="0.25">
      <c r="A59" t="s">
        <v>870</v>
      </c>
      <c r="B59" t="s">
        <v>247</v>
      </c>
      <c r="C59">
        <v>121</v>
      </c>
      <c r="D59" t="s">
        <v>323</v>
      </c>
      <c r="E59" t="s">
        <v>323</v>
      </c>
      <c r="F59" t="s">
        <v>316</v>
      </c>
      <c r="G59">
        <v>1969</v>
      </c>
      <c r="I59">
        <v>2010</v>
      </c>
      <c r="T59">
        <v>16</v>
      </c>
      <c r="V59">
        <v>9</v>
      </c>
      <c r="X59" s="4" t="str">
        <f>IF(AND(T59&gt;0,W59&gt;0),(W59/((T59+U59)*10)),"")</f>
        <v/>
      </c>
      <c r="Y59">
        <v>75</v>
      </c>
      <c r="AA59">
        <v>11.2</v>
      </c>
      <c r="AB59">
        <v>11.2</v>
      </c>
      <c r="AE59" s="11">
        <v>39</v>
      </c>
      <c r="AF59" t="str">
        <f>CONCATENATE(VLOOKUP(AG59, 'Voxel Sizes'!$A$2:$B$18,2,FALSE),"x",INT(AC59*15), "x", INT(AD59*15))</f>
        <v>120x0x0</v>
      </c>
      <c r="AG59">
        <f>ROUND(15*((AB59*10)/256),0)</f>
        <v>7</v>
      </c>
      <c r="AI59" t="str">
        <f>CONCATENATE(VLOOKUP(AG59,Constants!$A$2:$C$16,IF(AH59&lt;&gt;"", 3, 2), FALSE),IF(AH59&lt;&gt;"",CONCATENATE(",",VLOOKUP(AH59,$B:$AI,34,FALSE)),""))</f>
        <v>2,3,2</v>
      </c>
      <c r="AP59">
        <v>40</v>
      </c>
      <c r="AQ59">
        <f>IF(I59&lt;&gt;"",MAX(8,(I59-G59)-4),"")</f>
        <v>37</v>
      </c>
      <c r="AT59">
        <f>MIN(Y59/150, 1)*30</f>
        <v>15</v>
      </c>
      <c r="AU59">
        <f>MIN(K59/4000, 1)*20</f>
        <v>0</v>
      </c>
      <c r="AV59">
        <f>MIN(W59/400,1)*20</f>
        <v>0</v>
      </c>
      <c r="AW59" s="4">
        <v>1</v>
      </c>
      <c r="AX59">
        <f>((MAX($J59,1)*MIN($AE59/300,1)))*IF(D59="Wagon",50,10)</f>
        <v>6.5</v>
      </c>
      <c r="AY59">
        <f>VLOOKUP($E59,Constants!$I:$K, 2, FALSE)</f>
        <v>1</v>
      </c>
      <c r="AZ59">
        <f>VLOOKUP($E59,Constants!$I:$K, 3, FALSE)*IF(AND(D59="multiple_unit",Y59&lt;110),0.75,1)</f>
        <v>0.45</v>
      </c>
      <c r="BA59">
        <f>INT(POWER(((Constants!$G$2+$AT59+$AU59+$AV59+$AX59)*$AW59)*$AZ59, 1.05))+$AS59</f>
        <v>13</v>
      </c>
      <c r="BB59">
        <f>INT(((Constants!$G$1+$AT59+$AU59+$AV59+$AX59)*(1/$AW59))*$AY59)+$AR59</f>
        <v>56</v>
      </c>
      <c r="BD59">
        <f>INT(Y59*1.25)</f>
        <v>93</v>
      </c>
      <c r="BJ59" t="s">
        <v>384</v>
      </c>
      <c r="BK59" t="s">
        <v>328</v>
      </c>
      <c r="BL59" t="str">
        <f>VLOOKUP(G59,Eras!$A$2:$C$10, 2, TRUE)</f>
        <v>dsl</v>
      </c>
      <c r="BM59" t="s">
        <v>384</v>
      </c>
      <c r="BN59" t="str">
        <f>CONCATENATE(BL59,"_",BM59)</f>
        <v>dsl_Van</v>
      </c>
      <c r="BO59" t="str">
        <f t="shared" si="0"/>
        <v>{BLACK}Tare speed: {GOLD}{VELOCITY}{}</v>
      </c>
      <c r="BP59" t="str">
        <f t="shared" si="1"/>
        <v/>
      </c>
      <c r="BQ59" t="s">
        <v>814</v>
      </c>
      <c r="BR59" t="str">
        <f t="shared" si="2"/>
        <v/>
      </c>
      <c r="BS59" t="str">
        <f t="shared" si="3"/>
        <v>{BLACK}Tare speed: {GOLD}{VELOCITY}{}{SILVER}The VDA was BR's first air braked general purpose van, later used for the Speedlink freight network.</v>
      </c>
    </row>
    <row r="60" spans="1:71" x14ac:dyDescent="0.25">
      <c r="A60" t="s">
        <v>811</v>
      </c>
      <c r="B60" t="s">
        <v>812</v>
      </c>
      <c r="C60">
        <v>123</v>
      </c>
      <c r="D60" t="s">
        <v>323</v>
      </c>
      <c r="E60" t="s">
        <v>323</v>
      </c>
      <c r="F60" t="s">
        <v>316</v>
      </c>
      <c r="G60">
        <v>1978</v>
      </c>
      <c r="T60">
        <v>8</v>
      </c>
      <c r="V60">
        <v>7</v>
      </c>
      <c r="X60" s="4" t="str">
        <f>IF(AND(T60&gt;0,W60&gt;0),(W60/((T60+U60)*10)),"")</f>
        <v/>
      </c>
      <c r="Y60">
        <v>75</v>
      </c>
      <c r="AA60">
        <v>8</v>
      </c>
      <c r="AB60">
        <v>8</v>
      </c>
      <c r="AE60" s="11">
        <v>27</v>
      </c>
      <c r="AF60" t="str">
        <f>CONCATENATE(VLOOKUP(AG60, 'Voxel Sizes'!$A$2:$B$18,2,FALSE),"x",INT(AC60*15), "x", INT(AD60*15))</f>
        <v>82x0x0</v>
      </c>
      <c r="AG60">
        <f>ROUND(15*((AB60*10)/256),0)</f>
        <v>5</v>
      </c>
      <c r="AI60" t="str">
        <f>CONCATENATE(VLOOKUP(AG60,Constants!$A$2:$C$16,IF(AH60&lt;&gt;"", 3, 2), FALSE),IF(AH60&lt;&gt;"",CONCATENATE(",",VLOOKUP(AH60,$B:$AI,34,FALSE)),""))</f>
        <v>2,1,2</v>
      </c>
      <c r="AP60">
        <v>40</v>
      </c>
      <c r="AQ60" t="str">
        <f>IF(I60&lt;&gt;"",MAX(8,(I60-G60)-4),"")</f>
        <v/>
      </c>
      <c r="AT60">
        <f>MIN(Y60/150, 1)*30</f>
        <v>15</v>
      </c>
      <c r="AU60">
        <f>MIN(K60/4000, 1)*20</f>
        <v>0</v>
      </c>
      <c r="AV60">
        <f>MIN(W60/400,1)*20</f>
        <v>0</v>
      </c>
      <c r="AW60" s="4">
        <v>1</v>
      </c>
      <c r="AX60">
        <f>((MAX($J60,1)*MIN($AE60/300,1)))*IF(D60="Wagon",50,10)</f>
        <v>4.5</v>
      </c>
      <c r="AY60">
        <f>VLOOKUP($E60,Constants!$I:$K, 2, FALSE)</f>
        <v>1</v>
      </c>
      <c r="AZ60">
        <f>VLOOKUP($E60,Constants!$I:$K, 3, FALSE)*IF(AND(D60="multiple_unit",Y60&lt;110),0.75,1)</f>
        <v>0.45</v>
      </c>
      <c r="BA60">
        <f>INT(POWER(((Constants!$G$2+$AT60+$AU60+$AV60+$AX60)*$AW60)*$AZ60, 1.05))+$AS60</f>
        <v>12</v>
      </c>
      <c r="BB60">
        <f>INT(((Constants!$G$1+$AT60+$AU60+$AV60+$AX60)*(1/$AW60))*$AY60)+$AR60</f>
        <v>54</v>
      </c>
      <c r="BD60">
        <f>INT(Y60*1.25)</f>
        <v>93</v>
      </c>
      <c r="BJ60" t="s">
        <v>384</v>
      </c>
      <c r="BK60" t="s">
        <v>328</v>
      </c>
      <c r="BL60" t="str">
        <f>VLOOKUP(G60,Eras!$A$2:$C$10, 2, TRUE)</f>
        <v>lbr</v>
      </c>
      <c r="BM60" t="s">
        <v>384</v>
      </c>
      <c r="BN60" t="str">
        <f>CONCATENATE(BL60,"_",BM60)</f>
        <v>lbr_Van</v>
      </c>
      <c r="BO60" t="str">
        <f t="shared" si="0"/>
        <v>{BLACK}Tare speed: {GOLD}{VELOCITY}{}</v>
      </c>
      <c r="BP60" t="str">
        <f t="shared" si="1"/>
        <v/>
      </c>
      <c r="BQ60" t="s">
        <v>813</v>
      </c>
      <c r="BR60" t="str">
        <f t="shared" si="2"/>
        <v/>
      </c>
      <c r="BS60" t="str">
        <f t="shared" si="3"/>
        <v>{BLACK}Tare speed: {GOLD}{VELOCITY}{}{SILVER}VEA vans were refurbished vans fitted with improved suspension and air brakes, allowing higher speed operation while still being suitable for narrow radius curves in small yards.</v>
      </c>
    </row>
    <row r="61" spans="1:71" x14ac:dyDescent="0.25">
      <c r="A61" t="s">
        <v>871</v>
      </c>
      <c r="B61" t="s">
        <v>815</v>
      </c>
      <c r="C61">
        <v>125</v>
      </c>
      <c r="D61" t="s">
        <v>323</v>
      </c>
      <c r="E61" t="s">
        <v>323</v>
      </c>
      <c r="F61" t="s">
        <v>316</v>
      </c>
      <c r="G61">
        <v>1982</v>
      </c>
      <c r="T61">
        <v>21</v>
      </c>
      <c r="V61">
        <v>9</v>
      </c>
      <c r="X61" s="4" t="str">
        <f>IF(AND(T61&gt;0,W61&gt;0),(W61/((T61+U61)*10)),"")</f>
        <v/>
      </c>
      <c r="Y61">
        <v>85</v>
      </c>
      <c r="AA61">
        <v>12.8</v>
      </c>
      <c r="AB61">
        <v>12.8</v>
      </c>
      <c r="AE61" s="11">
        <v>45</v>
      </c>
      <c r="AF61" t="str">
        <f>CONCATENATE(VLOOKUP(AG61, 'Voxel Sizes'!$A$2:$B$18,2,FALSE),"x",INT(AC61*15), "x", INT(AD61*15))</f>
        <v>136x0x0</v>
      </c>
      <c r="AG61">
        <f>ROUND(15*((AB61*10)/256),0)</f>
        <v>8</v>
      </c>
      <c r="AI61" t="str">
        <f>CONCATENATE(VLOOKUP(AG61,Constants!$A$2:$C$16,IF(AH61&lt;&gt;"", 3, 2), FALSE),IF(AH61&lt;&gt;"",CONCATENATE(",",VLOOKUP(AH61,$B:$AI,34,FALSE)),""))</f>
        <v>2,4,2</v>
      </c>
      <c r="AP61">
        <v>40</v>
      </c>
      <c r="AQ61" t="str">
        <f>IF(I61&lt;&gt;"",MAX(8,(I61-G61)-4),"")</f>
        <v/>
      </c>
      <c r="AT61">
        <f>MIN(Y61/150, 1)*30</f>
        <v>17</v>
      </c>
      <c r="AU61">
        <f>MIN(K61/4000, 1)*20</f>
        <v>0</v>
      </c>
      <c r="AV61">
        <f>MIN(W61/400,1)*20</f>
        <v>0</v>
      </c>
      <c r="AW61" s="4">
        <v>1</v>
      </c>
      <c r="AX61">
        <f>((MAX($J61,1)*MIN($AE61/300,1)))*IF(D61="Wagon",50,10)</f>
        <v>7.5</v>
      </c>
      <c r="AY61">
        <f>VLOOKUP($E61,Constants!$I:$K, 2, FALSE)</f>
        <v>1</v>
      </c>
      <c r="AZ61">
        <f>VLOOKUP($E61,Constants!$I:$K, 3, FALSE)*IF(AND(D61="multiple_unit",Y61&lt;110),0.75,1)</f>
        <v>0.45</v>
      </c>
      <c r="BA61">
        <f>INT(POWER(((Constants!$G$2+$AT61+$AU61+$AV61+$AX61)*$AW61)*$AZ61, 1.05))+$AS61</f>
        <v>15</v>
      </c>
      <c r="BB61">
        <f>INT(((Constants!$G$1+$AT61+$AU61+$AV61+$AX61)*(1/$AW61))*$AY61)+$AR61</f>
        <v>59</v>
      </c>
      <c r="BD61">
        <v>100</v>
      </c>
      <c r="BJ61" t="s">
        <v>384</v>
      </c>
      <c r="BK61" t="s">
        <v>328</v>
      </c>
      <c r="BL61" t="str">
        <f>VLOOKUP(G61,Eras!$A$2:$C$10, 2, TRUE)</f>
        <v>lbr</v>
      </c>
      <c r="BM61" t="s">
        <v>384</v>
      </c>
      <c r="BN61" t="str">
        <f>CONCATENATE(BL61,"_",BM61)</f>
        <v>lbr_Van</v>
      </c>
      <c r="BO61" t="str">
        <f t="shared" si="0"/>
        <v>{BLACK}Tare speed: {GOLD}{VELOCITY}{}</v>
      </c>
      <c r="BP61" t="str">
        <f t="shared" si="1"/>
        <v/>
      </c>
      <c r="BQ61" t="s">
        <v>816</v>
      </c>
      <c r="BR61" t="str">
        <f t="shared" si="2"/>
        <v/>
      </c>
      <c r="BS61" t="str">
        <f t="shared" si="3"/>
        <v>{BLACK}Tare speed: {GOLD}{VELOCITY}{}{SILVER}VGA vans followed continental practice with doors extending into the roof panel, providing a larger vertical opening.</v>
      </c>
    </row>
    <row r="62" spans="1:71" x14ac:dyDescent="0.25">
      <c r="A62" t="s">
        <v>878</v>
      </c>
      <c r="B62" t="s">
        <v>877</v>
      </c>
      <c r="C62">
        <v>131</v>
      </c>
      <c r="D62" t="s">
        <v>323</v>
      </c>
      <c r="E62" t="s">
        <v>323</v>
      </c>
      <c r="F62" t="s">
        <v>316</v>
      </c>
      <c r="G62">
        <v>1913</v>
      </c>
      <c r="H62">
        <v>1955</v>
      </c>
      <c r="I62">
        <v>1965</v>
      </c>
      <c r="T62">
        <v>20</v>
      </c>
      <c r="V62">
        <v>7</v>
      </c>
      <c r="X62" s="4" t="str">
        <f>IF(AND(T62&gt;0,W62&gt;0),(W62/((T62+U62)*10)),"")</f>
        <v/>
      </c>
      <c r="Y62">
        <v>70</v>
      </c>
      <c r="AA62">
        <v>15</v>
      </c>
      <c r="AB62">
        <v>15</v>
      </c>
      <c r="AE62" s="11">
        <v>60</v>
      </c>
      <c r="AF62" t="str">
        <f>CONCATENATE(VLOOKUP(AG62, 'Voxel Sizes'!$A$2:$B$18,2,FALSE),"x",INT(AC62*15), "x", INT(AD62*15))</f>
        <v>152x0x0</v>
      </c>
      <c r="AG62">
        <f>ROUND(15*((AB62*10)/256),0)</f>
        <v>9</v>
      </c>
      <c r="AI62" t="str">
        <f>CONCATENATE(VLOOKUP(AG62,Constants!$A$2:$C$16,IF(AH62&lt;&gt;"", 3, 2), FALSE),IF(AH62&lt;&gt;"",CONCATENATE(",",VLOOKUP(AH62,$B:$AI,34,FALSE)),""))</f>
        <v>2,5,2</v>
      </c>
      <c r="AP62">
        <v>40</v>
      </c>
      <c r="AQ62">
        <f>IF(I62&lt;&gt;"",MAX(8,(I62-G62)-4),"")</f>
        <v>48</v>
      </c>
      <c r="AT62">
        <f>MIN(Y62/150, 1)*30</f>
        <v>14</v>
      </c>
      <c r="AU62">
        <f>MIN(K62/4000, 1)*20</f>
        <v>0</v>
      </c>
      <c r="AV62">
        <f>MIN(W62/400,1)*20</f>
        <v>0</v>
      </c>
      <c r="AW62" s="4">
        <v>1</v>
      </c>
      <c r="AX62">
        <f>((MAX($J62,1)*MIN($AE62/300,1)))*IF(D62="Wagon",50,10)</f>
        <v>10</v>
      </c>
      <c r="AY62">
        <f>VLOOKUP($E62,Constants!$I:$K, 2, FALSE)</f>
        <v>1</v>
      </c>
      <c r="AZ62">
        <f>VLOOKUP($E62,Constants!$I:$K, 3, FALSE)*IF(AND(D62="multiple_unit",Y62&lt;110),0.75,1)</f>
        <v>0.45</v>
      </c>
      <c r="BA62">
        <f>INT(POWER(((Constants!$G$2+$AT62+$AU62+$AV62+$AX62)*$AW62)*$AZ62, 1.05))+$AS62</f>
        <v>14</v>
      </c>
      <c r="BB62">
        <f>INT(((Constants!$G$1+$AT62+$AU62+$AV62+$AX62)*(1/$AW62))*$AY62)+$AR62</f>
        <v>59</v>
      </c>
      <c r="BD62">
        <f>Y62</f>
        <v>70</v>
      </c>
      <c r="BJ62" t="s">
        <v>1116</v>
      </c>
      <c r="BK62" t="s">
        <v>710</v>
      </c>
      <c r="BL62" t="str">
        <f>VLOOKUP(G62,Eras!$A$2:$C$10, 2, TRUE)</f>
        <v>edw</v>
      </c>
      <c r="BM62" t="s">
        <v>383</v>
      </c>
      <c r="BN62" t="str">
        <f>CONCATENATE(BL62,"_",BM62)</f>
        <v>edw_Flat Wagon</v>
      </c>
      <c r="BO62" t="str">
        <f t="shared" si="0"/>
        <v/>
      </c>
      <c r="BP62" t="str">
        <f t="shared" si="1"/>
        <v/>
      </c>
      <c r="BQ62" t="s">
        <v>879</v>
      </c>
      <c r="BR62" t="str">
        <f t="shared" si="2"/>
        <v/>
      </c>
      <c r="BS62" t="str">
        <f t="shared" si="3"/>
        <v>{SILVER}GWR's "Siphon" vans were built to carry loads of milk churns at passenger train speeds. They were also used for parcel and newspaper traffic, the basic design being built well into the BR era.</v>
      </c>
    </row>
    <row r="63" spans="1:71" x14ac:dyDescent="0.25">
      <c r="A63" t="s">
        <v>855</v>
      </c>
      <c r="B63" t="s">
        <v>857</v>
      </c>
      <c r="C63">
        <v>133</v>
      </c>
      <c r="D63" t="s">
        <v>323</v>
      </c>
      <c r="E63" t="s">
        <v>323</v>
      </c>
      <c r="F63" t="s">
        <v>316</v>
      </c>
      <c r="G63">
        <v>1950</v>
      </c>
      <c r="I63">
        <v>1975</v>
      </c>
      <c r="T63">
        <v>18</v>
      </c>
      <c r="V63">
        <v>7</v>
      </c>
      <c r="X63" s="4" t="str">
        <f>IF(AND(T63&gt;0,W63&gt;0),(W63/((T63+U63)*10)),"")</f>
        <v/>
      </c>
      <c r="Y63">
        <v>80</v>
      </c>
      <c r="AA63">
        <v>11.2</v>
      </c>
      <c r="AB63">
        <v>11.2</v>
      </c>
      <c r="AE63" s="11">
        <v>45</v>
      </c>
      <c r="AF63" t="str">
        <f>CONCATENATE(VLOOKUP(AG63, 'Voxel Sizes'!$A$2:$B$18,2,FALSE),"x",INT(AC63*15), "x", INT(AD63*15))</f>
        <v>120x0x0</v>
      </c>
      <c r="AG63">
        <f>ROUND(15*((AB63*10)/256),0)</f>
        <v>7</v>
      </c>
      <c r="AI63" t="str">
        <f>CONCATENATE(VLOOKUP(AG63,Constants!$A$2:$C$16,IF(AH63&lt;&gt;"", 3, 2), FALSE),IF(AH63&lt;&gt;"",CONCATENATE(",",VLOOKUP(AH63,$B:$AI,34,FALSE)),""))</f>
        <v>2,3,2</v>
      </c>
      <c r="AP63">
        <v>40</v>
      </c>
      <c r="AQ63">
        <f>IF(I63&lt;&gt;"",MAX(8,(I63-G63)-4),"")</f>
        <v>21</v>
      </c>
      <c r="AT63">
        <f>MIN(Y63/150, 1)*30</f>
        <v>16</v>
      </c>
      <c r="AU63">
        <f>MIN(K63/4000, 1)*20</f>
        <v>0</v>
      </c>
      <c r="AV63">
        <f>MIN(W63/400,1)*20</f>
        <v>0</v>
      </c>
      <c r="AW63" s="4">
        <v>1</v>
      </c>
      <c r="AX63">
        <f>((MAX($J63,1)*MIN($AE63/300,1)))*IF(D63="Wagon",50,10)</f>
        <v>7.5</v>
      </c>
      <c r="AY63">
        <f>VLOOKUP($E63,Constants!$I:$K, 2, FALSE)</f>
        <v>1</v>
      </c>
      <c r="AZ63">
        <f>VLOOKUP($E63,Constants!$I:$K, 3, FALSE)*IF(AND(D63="multiple_unit",Y63&lt;110),0.75,1)</f>
        <v>0.45</v>
      </c>
      <c r="BA63">
        <f>INT(POWER(((Constants!$G$2+$AT63+$AU63+$AV63+$AX63)*$AW63)*$AZ63, 1.05))+$AS63</f>
        <v>14</v>
      </c>
      <c r="BB63">
        <f>INT(((Constants!$G$1+$AT63+$AU63+$AV63+$AX63)*(1/$AW63))*$AY63)+$AR63</f>
        <v>58</v>
      </c>
      <c r="BD63">
        <f>Y63</f>
        <v>80</v>
      </c>
      <c r="BJ63" t="s">
        <v>1114</v>
      </c>
      <c r="BK63" t="s">
        <v>710</v>
      </c>
      <c r="BL63" t="str">
        <f>VLOOKUP(G63,Eras!$A$2:$C$10, 2, TRUE)</f>
        <v>ebr</v>
      </c>
      <c r="BM63" t="s">
        <v>378</v>
      </c>
      <c r="BN63" t="str">
        <f>CONCATENATE(BL63,"_",BM63)</f>
        <v>ebr_Mail Carriage</v>
      </c>
      <c r="BO63" t="str">
        <f t="shared" si="0"/>
        <v/>
      </c>
      <c r="BP63" t="str">
        <f t="shared" si="1"/>
        <v/>
      </c>
      <c r="BQ63" t="s">
        <v>881</v>
      </c>
      <c r="BR63" t="str">
        <f t="shared" si="2"/>
        <v/>
      </c>
      <c r="BS63" t="str">
        <f t="shared" si="3"/>
        <v>{SILVER}BR built several of these six-wheeled parcels vans in the early 1950s.</v>
      </c>
    </row>
    <row r="64" spans="1:71" x14ac:dyDescent="0.25">
      <c r="A64" t="s">
        <v>859</v>
      </c>
      <c r="B64" t="s">
        <v>856</v>
      </c>
      <c r="C64">
        <v>135</v>
      </c>
      <c r="D64" t="s">
        <v>323</v>
      </c>
      <c r="E64" t="s">
        <v>323</v>
      </c>
      <c r="F64" t="s">
        <v>316</v>
      </c>
      <c r="G64">
        <v>1958</v>
      </c>
      <c r="T64">
        <v>30</v>
      </c>
      <c r="V64">
        <v>7</v>
      </c>
      <c r="X64" s="4" t="str">
        <f>IF(AND(T64&gt;0,W64&gt;0),(W64/((T64+U64)*10)),"")</f>
        <v/>
      </c>
      <c r="Y64">
        <v>100</v>
      </c>
      <c r="AA64">
        <v>19.3</v>
      </c>
      <c r="AB64">
        <v>20</v>
      </c>
      <c r="AE64" s="11">
        <v>75</v>
      </c>
      <c r="AF64" t="str">
        <f>CONCATENATE(VLOOKUP(AG64, 'Voxel Sizes'!$A$2:$B$18,2,FALSE),"x",INT(AC64*15), "x", INT(AD64*15))</f>
        <v>198x0x0</v>
      </c>
      <c r="AG64">
        <f>ROUND(15*((AB64*10)/256),0)</f>
        <v>12</v>
      </c>
      <c r="AI64" t="str">
        <f>CONCATENATE(VLOOKUP(AG64,Constants!$A$2:$C$16,IF(AH64&lt;&gt;"", 3, 2), FALSE),IF(AH64&lt;&gt;"",CONCATENATE(",",VLOOKUP(AH64,$B:$AI,34,FALSE)),""))</f>
        <v>4,4,4</v>
      </c>
      <c r="AP64">
        <v>40</v>
      </c>
      <c r="AQ64" t="str">
        <f>IF(I64&lt;&gt;"",MAX(8,(I64-G64)-4),"")</f>
        <v/>
      </c>
      <c r="AT64">
        <f>MIN(Y64/150, 1)*30</f>
        <v>20</v>
      </c>
      <c r="AU64">
        <f>MIN(K64/4000, 1)*20</f>
        <v>0</v>
      </c>
      <c r="AV64">
        <f>MIN(W64/400,1)*20</f>
        <v>0</v>
      </c>
      <c r="AW64" s="4">
        <v>1</v>
      </c>
      <c r="AX64">
        <f>((MAX($J64,1)*MIN($AE64/300,1)))*IF(D64="Wagon",50,10)</f>
        <v>12.5</v>
      </c>
      <c r="AY64">
        <f>VLOOKUP($E64,Constants!$I:$K, 2, FALSE)</f>
        <v>1</v>
      </c>
      <c r="AZ64">
        <f>VLOOKUP($E64,Constants!$I:$K, 3, FALSE)*IF(AND(D64="multiple_unit",Y64&lt;110),0.75,1)</f>
        <v>0.45</v>
      </c>
      <c r="BA64">
        <f>INT(POWER(((Constants!$G$2+$AT64+$AU64+$AV64+$AX64)*$AW64)*$AZ64, 1.05))+$AS64</f>
        <v>19</v>
      </c>
      <c r="BB64">
        <f>INT(((Constants!$G$1+$AT64+$AU64+$AV64+$AX64)*(1/$AW64))*$AY64)+$AR64</f>
        <v>67</v>
      </c>
      <c r="BD64">
        <f>Y64</f>
        <v>100</v>
      </c>
      <c r="BJ64" t="s">
        <v>1114</v>
      </c>
      <c r="BK64" t="s">
        <v>710</v>
      </c>
      <c r="BL64" t="str">
        <f>VLOOKUP(G64,Eras!$A$2:$C$10, 2, TRUE)</f>
        <v>dsl</v>
      </c>
      <c r="BM64" t="s">
        <v>378</v>
      </c>
      <c r="BN64" t="str">
        <f>CONCATENATE(BL64,"_",BM64)</f>
        <v>dsl_Mail Carriage</v>
      </c>
      <c r="BO64" t="str">
        <f t="shared" si="0"/>
        <v/>
      </c>
      <c r="BP64" t="str">
        <f t="shared" si="1"/>
        <v/>
      </c>
      <c r="BQ64" t="s">
        <v>858</v>
      </c>
      <c r="BR64" t="str">
        <f t="shared" si="2"/>
        <v/>
      </c>
      <c r="BS64" t="str">
        <f t="shared" si="3"/>
        <v>{SILVER}Based on the Mark 1 carriage, the TPO (Travelling Post Office) allowed mail to be sorted as it was transported.</v>
      </c>
    </row>
    <row r="65" spans="1:71" x14ac:dyDescent="0.25">
      <c r="A65" t="s">
        <v>152</v>
      </c>
      <c r="B65" t="s">
        <v>248</v>
      </c>
      <c r="C65">
        <v>151</v>
      </c>
      <c r="D65" t="s">
        <v>169</v>
      </c>
      <c r="E65" t="s">
        <v>313</v>
      </c>
      <c r="F65" t="s">
        <v>317</v>
      </c>
      <c r="G65">
        <v>1802</v>
      </c>
      <c r="T65">
        <v>5</v>
      </c>
      <c r="X65" s="4" t="str">
        <f>IF(AND(T65&gt;0,W65&gt;0),(W65/((T65+U65)*10)),"")</f>
        <v/>
      </c>
      <c r="Y65">
        <v>5</v>
      </c>
      <c r="AE65" s="11">
        <v>0</v>
      </c>
      <c r="AF65" t="str">
        <f>CONCATENATE(VLOOKUP(AG65, 'Voxel Sizes'!$A$2:$B$18,2,FALSE),"x",INT(AC65*15), "x", INT(AD65*15))</f>
        <v>0x0x0</v>
      </c>
      <c r="AG65">
        <f>ROUND(15*((AB65*10)/256),0)</f>
        <v>0</v>
      </c>
      <c r="AI65" t="str">
        <f>CONCATENATE(VLOOKUP(AG65,Constants!$A$2:$C$16,IF(AH65&lt;&gt;"", 3, 2), FALSE),IF(AH65&lt;&gt;"",CONCATENATE(",",VLOOKUP(AH65,$B:$AI,34,FALSE)),""))</f>
        <v>na</v>
      </c>
      <c r="AP65">
        <v>40</v>
      </c>
      <c r="AQ65" t="str">
        <f>IF(I65&lt;&gt;"",MAX(8,(I65-G65)-4),"")</f>
        <v/>
      </c>
      <c r="AT65">
        <f>MIN(Y65/150, 1)*30</f>
        <v>1</v>
      </c>
      <c r="AU65">
        <f>MIN(K65/4000, 1)*20</f>
        <v>0</v>
      </c>
      <c r="AV65">
        <f>MIN(W65/400,1)*20</f>
        <v>0</v>
      </c>
      <c r="AW65" s="4">
        <v>1</v>
      </c>
      <c r="AX65">
        <f>((MAX($J65,1)*MIN($AE65/300,1)))*IF(D65="Wagon",50,10)</f>
        <v>0</v>
      </c>
      <c r="AY65">
        <f>VLOOKUP($E65,Constants!$I:$K, 2, FALSE)</f>
        <v>1.1499999999999999</v>
      </c>
      <c r="AZ65">
        <f>VLOOKUP($E65,Constants!$I:$K, 3, FALSE)*IF(AND(D65="multiple_unit",Y65&lt;110),0.75,1)</f>
        <v>1.7</v>
      </c>
      <c r="BA65">
        <f>INT(POWER(((Constants!$G$2+$AT65+$AU65+$AV65+$AX65)*$AW65)*$AZ65, 1.05))+$AS65</f>
        <v>11</v>
      </c>
      <c r="BB65">
        <f>INT(((Constants!$G$1+$AT65+$AU65+$AV65+$AX65)*(1/$AW65))*$AY65)+$AR65</f>
        <v>41</v>
      </c>
      <c r="BL65" t="str">
        <f>VLOOKUP(G65,Eras!$A$2:$C$10, 2, TRUE)</f>
        <v>early</v>
      </c>
      <c r="BM65" t="s">
        <v>369</v>
      </c>
      <c r="BN65" t="str">
        <f>CONCATENATE(BL65,"_",BM65)</f>
        <v>early_Mixed Traffic</v>
      </c>
      <c r="BO65" t="str">
        <f t="shared" si="0"/>
        <v/>
      </c>
      <c r="BP65" t="str">
        <f t="shared" si="1"/>
        <v/>
      </c>
      <c r="BR65" t="str">
        <f t="shared" si="2"/>
        <v/>
      </c>
      <c r="BS65" t="str">
        <f t="shared" si="3"/>
        <v>{SILVER}</v>
      </c>
    </row>
    <row r="66" spans="1:71" x14ac:dyDescent="0.25">
      <c r="A66" t="s">
        <v>0</v>
      </c>
      <c r="B66" t="s">
        <v>170</v>
      </c>
      <c r="C66">
        <v>152</v>
      </c>
      <c r="D66" t="s">
        <v>169</v>
      </c>
      <c r="E66" t="s">
        <v>313</v>
      </c>
      <c r="F66" t="s">
        <v>316</v>
      </c>
      <c r="G66">
        <v>1812</v>
      </c>
      <c r="T66">
        <v>5</v>
      </c>
      <c r="X66" s="4" t="str">
        <f>IF(AND(T66&gt;0,W66&gt;0),(W66/((T66+U66)*10)),"")</f>
        <v/>
      </c>
      <c r="AE66" s="11">
        <v>0</v>
      </c>
      <c r="AF66" t="str">
        <f>CONCATENATE(VLOOKUP(AG66, 'Voxel Sizes'!$A$2:$B$18,2,FALSE),"x",INT(AC66*15), "x", INT(AD66*15))</f>
        <v>0x0x0</v>
      </c>
      <c r="AG66">
        <f>ROUND(15*((AB66*10)/256),0)</f>
        <v>0</v>
      </c>
      <c r="AI66" t="str">
        <f>CONCATENATE(VLOOKUP(AG66,Constants!$A$2:$C$16,IF(AH66&lt;&gt;"", 3, 2), FALSE),IF(AH66&lt;&gt;"",CONCATENATE(",",VLOOKUP(AH66,$B:$AI,34,FALSE)),""))</f>
        <v>na</v>
      </c>
      <c r="AP66">
        <v>40</v>
      </c>
      <c r="AQ66" t="str">
        <f>IF(I66&lt;&gt;"",MAX(8,(I66-G66)-4),"")</f>
        <v/>
      </c>
      <c r="AT66">
        <f>MIN(Y66/150, 1)*30</f>
        <v>0</v>
      </c>
      <c r="AU66">
        <f>MIN(K66/4000, 1)*20</f>
        <v>0</v>
      </c>
      <c r="AV66">
        <f>MIN(W66/400,1)*20</f>
        <v>0</v>
      </c>
      <c r="AW66" s="4">
        <v>1</v>
      </c>
      <c r="AX66">
        <f>((MAX($J66,1)*MIN($AE66/300,1)))*IF(D66="Wagon",50,10)</f>
        <v>0</v>
      </c>
      <c r="AY66">
        <f>VLOOKUP($E66,Constants!$I:$K, 2, FALSE)</f>
        <v>1.1499999999999999</v>
      </c>
      <c r="AZ66">
        <f>VLOOKUP($E66,Constants!$I:$K, 3, FALSE)*IF(AND(D66="multiple_unit",Y66&lt;110),0.75,1)</f>
        <v>1.7</v>
      </c>
      <c r="BA66">
        <f>INT(POWER(((Constants!$G$2+$AT66+$AU66+$AV66+$AX66)*$AW66)*$AZ66, 1.05))+$AS66</f>
        <v>9</v>
      </c>
      <c r="BB66">
        <f>INT(((Constants!$G$1+$AT66+$AU66+$AV66+$AX66)*(1/$AW66))*$AY66)+$AR66</f>
        <v>40</v>
      </c>
      <c r="BL66" t="str">
        <f>VLOOKUP(G66,Eras!$A$2:$C$10, 2, TRUE)</f>
        <v>early</v>
      </c>
      <c r="BN66" t="str">
        <f>CONCATENATE(BL66,"_",BM66)</f>
        <v>early_</v>
      </c>
      <c r="BO66" t="str">
        <f t="shared" si="0"/>
        <v/>
      </c>
      <c r="BP66" t="str">
        <f t="shared" si="1"/>
        <v/>
      </c>
      <c r="BR66" t="str">
        <f t="shared" si="2"/>
        <v/>
      </c>
      <c r="BS66" t="str">
        <f t="shared" si="3"/>
        <v>{SILVER}</v>
      </c>
    </row>
    <row r="67" spans="1:71" x14ac:dyDescent="0.25">
      <c r="A67" t="s">
        <v>1</v>
      </c>
      <c r="B67" t="s">
        <v>171</v>
      </c>
      <c r="C67">
        <v>153</v>
      </c>
      <c r="D67" t="s">
        <v>169</v>
      </c>
      <c r="E67" t="s">
        <v>313</v>
      </c>
      <c r="F67" t="s">
        <v>316</v>
      </c>
      <c r="G67">
        <v>1825</v>
      </c>
      <c r="T67">
        <v>7</v>
      </c>
      <c r="W67">
        <v>8.5</v>
      </c>
      <c r="X67" s="4">
        <f>IF(AND(T67&gt;0,W67&gt;0),(W67/((T67+U67)*10)),"")</f>
        <v>0.12142857142857143</v>
      </c>
      <c r="Y67">
        <v>15</v>
      </c>
      <c r="AE67" s="11">
        <v>0</v>
      </c>
      <c r="AF67" t="str">
        <f>CONCATENATE(VLOOKUP(AG67, 'Voxel Sizes'!$A$2:$B$18,2,FALSE),"x",INT(AC67*15), "x", INT(AD67*15))</f>
        <v>0x0x0</v>
      </c>
      <c r="AG67">
        <f>ROUND(15*((AB67*10)/256),0)</f>
        <v>0</v>
      </c>
      <c r="AI67" t="str">
        <f>CONCATENATE(VLOOKUP(AG67,Constants!$A$2:$C$16,IF(AH67&lt;&gt;"", 3, 2), FALSE),IF(AH67&lt;&gt;"",CONCATENATE(",",VLOOKUP(AH67,$B:$AI,34,FALSE)),""))</f>
        <v>na</v>
      </c>
      <c r="AP67">
        <v>40</v>
      </c>
      <c r="AQ67" t="str">
        <f>IF(I67&lt;&gt;"",MAX(8,(I67-G67)-4),"")</f>
        <v/>
      </c>
      <c r="AT67">
        <f>MIN(Y67/150, 1)*30</f>
        <v>3</v>
      </c>
      <c r="AU67">
        <f>MIN(K67/4000, 1)*20</f>
        <v>0</v>
      </c>
      <c r="AV67">
        <f>MIN(W67/400,1)*20</f>
        <v>0.42500000000000004</v>
      </c>
      <c r="AW67" s="4">
        <v>1</v>
      </c>
      <c r="AX67">
        <f>((MAX($J67,1)*MIN($AE67/300,1)))*IF(D67="Wagon",50,10)</f>
        <v>0</v>
      </c>
      <c r="AY67">
        <f>VLOOKUP($E67,Constants!$I:$K, 2, FALSE)</f>
        <v>1.1499999999999999</v>
      </c>
      <c r="AZ67">
        <f>VLOOKUP($E67,Constants!$I:$K, 3, FALSE)*IF(AND(D67="multiple_unit",Y67&lt;110),0.75,1)</f>
        <v>1.7</v>
      </c>
      <c r="BA67">
        <f>INT(POWER(((Constants!$G$2+$AT67+$AU67+$AV67+$AX67)*$AW67)*$AZ67, 1.05))+$AS67</f>
        <v>16</v>
      </c>
      <c r="BB67">
        <f>INT(((Constants!$G$1+$AT67+$AU67+$AV67+$AX67)*(1/$AW67))*$AY67)+$AR67</f>
        <v>44</v>
      </c>
      <c r="BL67" t="str">
        <f>VLOOKUP(G67,Eras!$A$2:$C$10, 2, TRUE)</f>
        <v>early</v>
      </c>
      <c r="BM67" t="s">
        <v>369</v>
      </c>
      <c r="BN67" t="str">
        <f>CONCATENATE(BL67,"_",BM67)</f>
        <v>early_Mixed Traffic</v>
      </c>
      <c r="BO67" t="str">
        <f t="shared" ref="BO67:BO130" si="4">IF(AND(BD67&lt;&gt;Y67,BD67&lt;&gt;""),_xlfn.CONCAT("{BLACK}","Tare speed: ","{GOLD}{VELOCITY}{}"), "")</f>
        <v/>
      </c>
      <c r="BP67" t="str">
        <f t="shared" ref="BP67:BP130" si="5">IF(J67&gt;1,_xlfn.CONCAT("{BLACK}Cars: {GOLD}", J67, "{}"),"")</f>
        <v/>
      </c>
      <c r="BR67" t="str">
        <f t="shared" ref="BR67:BR130" si="6">IF(BK67="BRAKE","{GOLD}Speed bonus for some loaded wagons{}","")</f>
        <v/>
      </c>
      <c r="BS67" t="str">
        <f t="shared" ref="BS67:BS130" si="7">_xlfn.CONCAT(BO67,BP67,BR67,"{SILVER}", BQ67)</f>
        <v>{SILVER}</v>
      </c>
    </row>
    <row r="68" spans="1:71" x14ac:dyDescent="0.25">
      <c r="A68" t="s">
        <v>2</v>
      </c>
      <c r="B68" t="s">
        <v>172</v>
      </c>
      <c r="C68">
        <v>154</v>
      </c>
      <c r="D68" t="s">
        <v>169</v>
      </c>
      <c r="E68" t="s">
        <v>313</v>
      </c>
      <c r="F68" t="s">
        <v>316</v>
      </c>
      <c r="G68">
        <v>1830</v>
      </c>
      <c r="T68">
        <v>4.3</v>
      </c>
      <c r="X68" s="4" t="str">
        <f>IF(AND(T68&gt;0,W68&gt;0),(W68/((T68+U68)*10)),"")</f>
        <v/>
      </c>
      <c r="AE68" s="11">
        <v>0</v>
      </c>
      <c r="AF68" t="str">
        <f>CONCATENATE(VLOOKUP(AG68, 'Voxel Sizes'!$A$2:$B$18,2,FALSE),"x",INT(AC68*15), "x", INT(AD68*15))</f>
        <v>0x0x0</v>
      </c>
      <c r="AG68">
        <f>ROUND(15*((AB68*10)/256),0)</f>
        <v>0</v>
      </c>
      <c r="AI68" t="str">
        <f>CONCATENATE(VLOOKUP(AG68,Constants!$A$2:$C$16,IF(AH68&lt;&gt;"", 3, 2), FALSE),IF(AH68&lt;&gt;"",CONCATENATE(",",VLOOKUP(AH68,$B:$AI,34,FALSE)),""))</f>
        <v>na</v>
      </c>
      <c r="AP68">
        <v>40</v>
      </c>
      <c r="AQ68" t="str">
        <f>IF(I68&lt;&gt;"",MAX(8,(I68-G68)-4),"")</f>
        <v/>
      </c>
      <c r="AT68">
        <f>MIN(Y68/150, 1)*30</f>
        <v>0</v>
      </c>
      <c r="AU68">
        <f>MIN(K68/4000, 1)*20</f>
        <v>0</v>
      </c>
      <c r="AV68">
        <f>MIN(W68/400,1)*20</f>
        <v>0</v>
      </c>
      <c r="AW68" s="4">
        <v>1</v>
      </c>
      <c r="AX68">
        <f>((MAX($J68,1)*MIN($AE68/300,1)))*IF(D68="Wagon",50,10)</f>
        <v>0</v>
      </c>
      <c r="AY68">
        <f>VLOOKUP($E68,Constants!$I:$K, 2, FALSE)</f>
        <v>1.1499999999999999</v>
      </c>
      <c r="AZ68">
        <f>VLOOKUP($E68,Constants!$I:$K, 3, FALSE)*IF(AND(D68="multiple_unit",Y68&lt;110),0.75,1)</f>
        <v>1.7</v>
      </c>
      <c r="BA68">
        <f>INT(POWER(((Constants!$G$2+$AT68+$AU68+$AV68+$AX68)*$AW68)*$AZ68, 1.05))+$AS68</f>
        <v>9</v>
      </c>
      <c r="BB68">
        <f>INT(((Constants!$G$1+$AT68+$AU68+$AV68+$AX68)*(1/$AW68))*$AY68)+$AR68</f>
        <v>40</v>
      </c>
      <c r="BL68" t="str">
        <f>VLOOKUP(G68,Eras!$A$2:$C$10, 2, TRUE)</f>
        <v>early</v>
      </c>
      <c r="BM68" t="s">
        <v>369</v>
      </c>
      <c r="BN68" t="str">
        <f>CONCATENATE(BL68,"_",BM68)</f>
        <v>early_Mixed Traffic</v>
      </c>
      <c r="BO68" t="str">
        <f t="shared" si="4"/>
        <v/>
      </c>
      <c r="BP68" t="str">
        <f t="shared" si="5"/>
        <v/>
      </c>
      <c r="BR68" t="str">
        <f t="shared" si="6"/>
        <v/>
      </c>
      <c r="BS68" t="str">
        <f t="shared" si="7"/>
        <v>{SILVER}</v>
      </c>
    </row>
    <row r="69" spans="1:71" x14ac:dyDescent="0.25">
      <c r="A69" t="s">
        <v>144</v>
      </c>
      <c r="B69" t="s">
        <v>249</v>
      </c>
      <c r="C69">
        <v>155</v>
      </c>
      <c r="D69" t="s">
        <v>169</v>
      </c>
      <c r="E69" t="s">
        <v>313</v>
      </c>
      <c r="F69" t="s">
        <v>316</v>
      </c>
      <c r="G69">
        <v>1838</v>
      </c>
      <c r="W69">
        <v>9.6</v>
      </c>
      <c r="X69" s="4" t="str">
        <f>IF(AND(T69&gt;0,W69&gt;0),(W69/((T69+U69)*10)),"")</f>
        <v/>
      </c>
      <c r="Y69">
        <v>45</v>
      </c>
      <c r="AE69" s="11">
        <v>0</v>
      </c>
      <c r="AF69" t="str">
        <f>CONCATENATE(VLOOKUP(AG69, 'Voxel Sizes'!$A$2:$B$18,2,FALSE),"x",INT(AC69*15), "x", INT(AD69*15))</f>
        <v>0x0x0</v>
      </c>
      <c r="AG69">
        <f>ROUND(15*((AB69*10)/256),0)</f>
        <v>0</v>
      </c>
      <c r="AI69" t="str">
        <f>CONCATENATE(VLOOKUP(AG69,Constants!$A$2:$C$16,IF(AH69&lt;&gt;"", 3, 2), FALSE),IF(AH69&lt;&gt;"",CONCATENATE(",",VLOOKUP(AH69,$B:$AI,34,FALSE)),""))</f>
        <v>na</v>
      </c>
      <c r="AP69">
        <v>40</v>
      </c>
      <c r="AQ69" t="str">
        <f>IF(I69&lt;&gt;"",MAX(8,(I69-G69)-4),"")</f>
        <v/>
      </c>
      <c r="AT69">
        <f>MIN(Y69/150, 1)*30</f>
        <v>9</v>
      </c>
      <c r="AU69">
        <f>MIN(K69/4000, 1)*20</f>
        <v>0</v>
      </c>
      <c r="AV69">
        <f>MIN(W69/400,1)*20</f>
        <v>0.48</v>
      </c>
      <c r="AW69" s="4">
        <v>1</v>
      </c>
      <c r="AX69">
        <f>((MAX($J69,1)*MIN($AE69/300,1)))*IF(D69="Wagon",50,10)</f>
        <v>0</v>
      </c>
      <c r="AY69">
        <f>VLOOKUP($E69,Constants!$I:$K, 2, FALSE)</f>
        <v>1.1499999999999999</v>
      </c>
      <c r="AZ69">
        <f>VLOOKUP($E69,Constants!$I:$K, 3, FALSE)*IF(AND(D69="multiple_unit",Y69&lt;110),0.75,1)</f>
        <v>1.7</v>
      </c>
      <c r="BA69">
        <f>INT(POWER(((Constants!$G$2+$AT69+$AU69+$AV69+$AX69)*$AW69)*$AZ69, 1.05))+$AS69</f>
        <v>28</v>
      </c>
      <c r="BB69">
        <f>INT(((Constants!$G$1+$AT69+$AU69+$AV69+$AX69)*(1/$AW69))*$AY69)+$AR69</f>
        <v>51</v>
      </c>
      <c r="BL69" t="str">
        <f>VLOOKUP(G69,Eras!$A$2:$C$10, 2, TRUE)</f>
        <v>early</v>
      </c>
      <c r="BM69" t="s">
        <v>369</v>
      </c>
      <c r="BN69" t="str">
        <f>CONCATENATE(BL69,"_",BM69)</f>
        <v>early_Mixed Traffic</v>
      </c>
      <c r="BO69" t="str">
        <f t="shared" si="4"/>
        <v/>
      </c>
      <c r="BP69" t="str">
        <f t="shared" si="5"/>
        <v/>
      </c>
      <c r="BR69" t="str">
        <f t="shared" si="6"/>
        <v/>
      </c>
      <c r="BS69" t="str">
        <f t="shared" si="7"/>
        <v>{SILVER}</v>
      </c>
    </row>
    <row r="70" spans="1:71" x14ac:dyDescent="0.25">
      <c r="A70" t="s">
        <v>145</v>
      </c>
      <c r="B70" t="s">
        <v>250</v>
      </c>
      <c r="C70">
        <v>158</v>
      </c>
      <c r="D70" t="s">
        <v>169</v>
      </c>
      <c r="E70" t="s">
        <v>313</v>
      </c>
      <c r="F70" t="s">
        <v>316</v>
      </c>
      <c r="G70">
        <v>1838</v>
      </c>
      <c r="X70" s="4" t="str">
        <f>IF(AND(T70&gt;0,W70&gt;0),(W70/((T70+U70)*10)),"")</f>
        <v/>
      </c>
      <c r="AE70" s="11">
        <v>0</v>
      </c>
      <c r="AF70" t="str">
        <f>CONCATENATE(VLOOKUP(AG70, 'Voxel Sizes'!$A$2:$B$18,2,FALSE),"x",INT(AC70*15), "x", INT(AD70*15))</f>
        <v>0x0x0</v>
      </c>
      <c r="AG70">
        <f>ROUND(15*((AB70*10)/256),0)</f>
        <v>0</v>
      </c>
      <c r="AI70" t="str">
        <f>CONCATENATE(VLOOKUP(AG70,Constants!$A$2:$C$16,IF(AH70&lt;&gt;"", 3, 2), FALSE),IF(AH70&lt;&gt;"",CONCATENATE(",",VLOOKUP(AH70,$B:$AI,34,FALSE)),""))</f>
        <v>na</v>
      </c>
      <c r="AP70">
        <v>40</v>
      </c>
      <c r="AQ70" t="str">
        <f>IF(I70&lt;&gt;"",MAX(8,(I70-G70)-4),"")</f>
        <v/>
      </c>
      <c r="AT70">
        <f>MIN(Y70/150, 1)*30</f>
        <v>0</v>
      </c>
      <c r="AU70">
        <f>MIN(K70/4000, 1)*20</f>
        <v>0</v>
      </c>
      <c r="AV70">
        <f>MIN(W70/400,1)*20</f>
        <v>0</v>
      </c>
      <c r="AW70" s="4">
        <v>1</v>
      </c>
      <c r="AX70">
        <f>((MAX($J70,1)*MIN($AE70/300,1)))*IF(D70="Wagon",50,10)</f>
        <v>0</v>
      </c>
      <c r="AY70">
        <f>VLOOKUP($E70,Constants!$I:$K, 2, FALSE)</f>
        <v>1.1499999999999999</v>
      </c>
      <c r="AZ70">
        <f>VLOOKUP($E70,Constants!$I:$K, 3, FALSE)*IF(AND(D70="multiple_unit",Y70&lt;110),0.75,1)</f>
        <v>1.7</v>
      </c>
      <c r="BA70">
        <f>INT(POWER(((Constants!$G$2+$AT70+$AU70+$AV70+$AX70)*$AW70)*$AZ70, 1.05))+$AS70</f>
        <v>9</v>
      </c>
      <c r="BB70">
        <f>INT(((Constants!$G$1+$AT70+$AU70+$AV70+$AX70)*(1/$AW70))*$AY70)+$AR70</f>
        <v>40</v>
      </c>
      <c r="BL70" t="str">
        <f>VLOOKUP(G70,Eras!$A$2:$C$10, 2, TRUE)</f>
        <v>early</v>
      </c>
      <c r="BM70" t="s">
        <v>370</v>
      </c>
      <c r="BN70" t="str">
        <f>CONCATENATE(BL70,"_",BM70)</f>
        <v>early_Express</v>
      </c>
      <c r="BO70" t="str">
        <f t="shared" si="4"/>
        <v/>
      </c>
      <c r="BP70" t="str">
        <f t="shared" si="5"/>
        <v/>
      </c>
      <c r="BR70" t="str">
        <f t="shared" si="6"/>
        <v/>
      </c>
      <c r="BS70" t="str">
        <f t="shared" si="7"/>
        <v>{SILVER}</v>
      </c>
    </row>
    <row r="71" spans="1:71" x14ac:dyDescent="0.25">
      <c r="A71" t="s">
        <v>3</v>
      </c>
      <c r="B71" t="s">
        <v>173</v>
      </c>
      <c r="C71">
        <v>160</v>
      </c>
      <c r="D71" t="s">
        <v>169</v>
      </c>
      <c r="E71" t="s">
        <v>313</v>
      </c>
      <c r="F71" t="s">
        <v>316</v>
      </c>
      <c r="G71">
        <v>1846</v>
      </c>
      <c r="T71">
        <v>19</v>
      </c>
      <c r="W71">
        <v>34</v>
      </c>
      <c r="X71" s="4">
        <f>IF(AND(T71&gt;0,W71&gt;0),(W71/((T71+U71)*10)),"")</f>
        <v>0.17894736842105263</v>
      </c>
      <c r="AE71" s="11">
        <v>0</v>
      </c>
      <c r="AF71" t="str">
        <f>CONCATENATE(VLOOKUP(AG71, 'Voxel Sizes'!$A$2:$B$18,2,FALSE),"x",INT(AC71*15), "x", INT(AD71*15))</f>
        <v>0x0x0</v>
      </c>
      <c r="AG71">
        <f>ROUND(15*((AB71*10)/256),0)</f>
        <v>0</v>
      </c>
      <c r="AI71" t="str">
        <f>CONCATENATE(VLOOKUP(AG71,Constants!$A$2:$C$16,IF(AH71&lt;&gt;"", 3, 2), FALSE),IF(AH71&lt;&gt;"",CONCATENATE(",",VLOOKUP(AH71,$B:$AI,34,FALSE)),""))</f>
        <v>na</v>
      </c>
      <c r="AP71">
        <v>40</v>
      </c>
      <c r="AQ71" t="str">
        <f>IF(I71&lt;&gt;"",MAX(8,(I71-G71)-4),"")</f>
        <v/>
      </c>
      <c r="AT71">
        <f>MIN(Y71/150, 1)*30</f>
        <v>0</v>
      </c>
      <c r="AU71">
        <f>MIN(K71/4000, 1)*20</f>
        <v>0</v>
      </c>
      <c r="AV71">
        <f>MIN(W71/400,1)*20</f>
        <v>1.7000000000000002</v>
      </c>
      <c r="AW71" s="4">
        <v>1</v>
      </c>
      <c r="AX71">
        <f>((MAX($J71,1)*MIN($AE71/300,1)))*IF(D71="Wagon",50,10)</f>
        <v>0</v>
      </c>
      <c r="AY71">
        <f>VLOOKUP($E71,Constants!$I:$K, 2, FALSE)</f>
        <v>1.1499999999999999</v>
      </c>
      <c r="AZ71">
        <f>VLOOKUP($E71,Constants!$I:$K, 3, FALSE)*IF(AND(D71="multiple_unit",Y71&lt;110),0.75,1)</f>
        <v>1.7</v>
      </c>
      <c r="BA71">
        <f>INT(POWER(((Constants!$G$2+$AT71+$AU71+$AV71+$AX71)*$AW71)*$AZ71, 1.05))+$AS71</f>
        <v>12</v>
      </c>
      <c r="BB71">
        <f>INT(((Constants!$G$1+$AT71+$AU71+$AV71+$AX71)*(1/$AW71))*$AY71)+$AR71</f>
        <v>42</v>
      </c>
      <c r="BL71" t="str">
        <f>VLOOKUP(G71,Eras!$A$2:$C$10, 2, TRUE)</f>
        <v>early</v>
      </c>
      <c r="BN71" t="str">
        <f>CONCATENATE(BL71,"_",BM71)</f>
        <v>early_</v>
      </c>
      <c r="BO71" t="str">
        <f t="shared" si="4"/>
        <v/>
      </c>
      <c r="BP71" t="str">
        <f t="shared" si="5"/>
        <v/>
      </c>
      <c r="BR71" t="str">
        <f t="shared" si="6"/>
        <v/>
      </c>
      <c r="BS71" t="str">
        <f t="shared" si="7"/>
        <v>{SILVER}</v>
      </c>
    </row>
    <row r="72" spans="1:71" x14ac:dyDescent="0.25">
      <c r="A72" t="s">
        <v>6</v>
      </c>
      <c r="B72" t="s">
        <v>251</v>
      </c>
      <c r="C72">
        <v>162</v>
      </c>
      <c r="D72" t="s">
        <v>169</v>
      </c>
      <c r="E72" t="s">
        <v>313</v>
      </c>
      <c r="F72" t="s">
        <v>316</v>
      </c>
      <c r="G72">
        <v>1846</v>
      </c>
      <c r="T72">
        <v>42</v>
      </c>
      <c r="X72" s="4" t="str">
        <f>IF(AND(T72&gt;0,W72&gt;0),(W72/((T72+U72)*10)),"")</f>
        <v/>
      </c>
      <c r="AA72">
        <v>6</v>
      </c>
      <c r="AB72">
        <v>6</v>
      </c>
      <c r="AE72" s="11">
        <v>0</v>
      </c>
      <c r="AF72" t="str">
        <f>CONCATENATE(VLOOKUP(AG72, 'Voxel Sizes'!$A$2:$B$18,2,FALSE),"x",INT(AC72*15), "x", INT(AD72*15))</f>
        <v>60x0x0</v>
      </c>
      <c r="AG72">
        <f>ROUND(15*((AB72*10)/256),0)</f>
        <v>4</v>
      </c>
      <c r="AI72" t="str">
        <f>CONCATENATE(VLOOKUP(AG72,Constants!$A$2:$C$16,IF(AH72&lt;&gt;"", 3, 2), FALSE),IF(AH72&lt;&gt;"",CONCATENATE(",",VLOOKUP(AH72,$B:$AI,34,FALSE)),""))</f>
        <v>1,2,1</v>
      </c>
      <c r="AP72">
        <v>40</v>
      </c>
      <c r="AQ72" t="str">
        <f>IF(I72&lt;&gt;"",MAX(8,(I72-G72)-4),"")</f>
        <v/>
      </c>
      <c r="AT72">
        <f>MIN(Y72/150, 1)*30</f>
        <v>0</v>
      </c>
      <c r="AU72">
        <f>MIN(K72/4000, 1)*20</f>
        <v>0</v>
      </c>
      <c r="AV72">
        <f>MIN(W72/400,1)*20</f>
        <v>0</v>
      </c>
      <c r="AW72" s="4">
        <v>1</v>
      </c>
      <c r="AX72">
        <f>((MAX($J72,1)*MIN($AE72/300,1)))*IF(D72="Wagon",50,10)</f>
        <v>0</v>
      </c>
      <c r="AY72">
        <f>VLOOKUP($E72,Constants!$I:$K, 2, FALSE)</f>
        <v>1.1499999999999999</v>
      </c>
      <c r="AZ72">
        <f>VLOOKUP($E72,Constants!$I:$K, 3, FALSE)*IF(AND(D72="multiple_unit",Y72&lt;110),0.75,1)</f>
        <v>1.7</v>
      </c>
      <c r="BA72">
        <f>INT(POWER(((Constants!$G$2+$AT72+$AU72+$AV72+$AX72)*$AW72)*$AZ72, 1.05))+$AS72</f>
        <v>9</v>
      </c>
      <c r="BB72">
        <f>INT(((Constants!$G$1+$AT72+$AU72+$AV72+$AX72)*(1/$AW72))*$AY72)+$AR72</f>
        <v>40</v>
      </c>
      <c r="BL72" t="str">
        <f>VLOOKUP(G72,Eras!$A$2:$C$10, 2, TRUE)</f>
        <v>early</v>
      </c>
      <c r="BN72" t="str">
        <f>CONCATENATE(BL72,"_",BM72)</f>
        <v>early_</v>
      </c>
      <c r="BO72" t="str">
        <f t="shared" si="4"/>
        <v/>
      </c>
      <c r="BP72" t="str">
        <f t="shared" si="5"/>
        <v/>
      </c>
      <c r="BR72" t="str">
        <f t="shared" si="6"/>
        <v/>
      </c>
      <c r="BS72" t="str">
        <f t="shared" si="7"/>
        <v>{SILVER}</v>
      </c>
    </row>
    <row r="73" spans="1:71" x14ac:dyDescent="0.25">
      <c r="A73" t="s">
        <v>4</v>
      </c>
      <c r="B73" t="s">
        <v>174</v>
      </c>
      <c r="C73">
        <v>164</v>
      </c>
      <c r="D73" t="s">
        <v>169</v>
      </c>
      <c r="E73" t="s">
        <v>313</v>
      </c>
      <c r="F73" t="s">
        <v>316</v>
      </c>
      <c r="G73">
        <v>1847</v>
      </c>
      <c r="X73" s="4" t="str">
        <f>IF(AND(T73&gt;0,W73&gt;0),(W73/((T73+U73)*10)),"")</f>
        <v/>
      </c>
      <c r="Y73">
        <v>60</v>
      </c>
      <c r="AE73" s="11">
        <v>0</v>
      </c>
      <c r="AF73" t="str">
        <f>CONCATENATE(VLOOKUP(AG73, 'Voxel Sizes'!$A$2:$B$18,2,FALSE),"x",INT(AC73*15), "x", INT(AD73*15))</f>
        <v>0x0x0</v>
      </c>
      <c r="AG73">
        <f>ROUND(15*((AB73*10)/256),0)</f>
        <v>0</v>
      </c>
      <c r="AI73" t="str">
        <f>CONCATENATE(VLOOKUP(AG73,Constants!$A$2:$C$16,IF(AH73&lt;&gt;"", 3, 2), FALSE),IF(AH73&lt;&gt;"",CONCATENATE(",",VLOOKUP(AH73,$B:$AI,34,FALSE)),""))</f>
        <v>na</v>
      </c>
      <c r="AP73">
        <v>40</v>
      </c>
      <c r="AQ73" t="str">
        <f>IF(I73&lt;&gt;"",MAX(8,(I73-G73)-4),"")</f>
        <v/>
      </c>
      <c r="AT73">
        <f>MIN(Y73/150, 1)*30</f>
        <v>12</v>
      </c>
      <c r="AU73">
        <f>MIN(K73/4000, 1)*20</f>
        <v>0</v>
      </c>
      <c r="AV73">
        <f>MIN(W73/400,1)*20</f>
        <v>0</v>
      </c>
      <c r="AW73" s="4">
        <v>1</v>
      </c>
      <c r="AX73">
        <f>((MAX($J73,1)*MIN($AE73/300,1)))*IF(D73="Wagon",50,10)</f>
        <v>0</v>
      </c>
      <c r="AY73">
        <f>VLOOKUP($E73,Constants!$I:$K, 2, FALSE)</f>
        <v>1.1499999999999999</v>
      </c>
      <c r="AZ73">
        <f>VLOOKUP($E73,Constants!$I:$K, 3, FALSE)*IF(AND(D73="multiple_unit",Y73&lt;110),0.75,1)</f>
        <v>1.7</v>
      </c>
      <c r="BA73">
        <f>INT(POWER(((Constants!$G$2+$AT73+$AU73+$AV73+$AX73)*$AW73)*$AZ73, 1.05))+$AS73</f>
        <v>34</v>
      </c>
      <c r="BB73">
        <f>INT(((Constants!$G$1+$AT73+$AU73+$AV73+$AX73)*(1/$AW73))*$AY73)+$AR73</f>
        <v>54</v>
      </c>
      <c r="BL73" t="str">
        <f>VLOOKUP(G73,Eras!$A$2:$C$10, 2, TRUE)</f>
        <v>early</v>
      </c>
      <c r="BN73" t="str">
        <f>CONCATENATE(BL73,"_",BM73)</f>
        <v>early_</v>
      </c>
      <c r="BO73" t="str">
        <f t="shared" si="4"/>
        <v/>
      </c>
      <c r="BP73" t="str">
        <f t="shared" si="5"/>
        <v/>
      </c>
      <c r="BR73" t="str">
        <f t="shared" si="6"/>
        <v/>
      </c>
      <c r="BS73" t="str">
        <f t="shared" si="7"/>
        <v>{SILVER}</v>
      </c>
    </row>
    <row r="74" spans="1:71" x14ac:dyDescent="0.25">
      <c r="A74" t="s">
        <v>5</v>
      </c>
      <c r="B74" t="s">
        <v>175</v>
      </c>
      <c r="C74">
        <v>166</v>
      </c>
      <c r="D74" t="s">
        <v>169</v>
      </c>
      <c r="E74" t="s">
        <v>313</v>
      </c>
      <c r="F74" t="s">
        <v>316</v>
      </c>
      <c r="G74">
        <v>1852</v>
      </c>
      <c r="T74">
        <v>64</v>
      </c>
      <c r="W74">
        <v>65</v>
      </c>
      <c r="X74" s="4">
        <f>IF(AND(T74&gt;0,W74&gt;0),(W74/((T74+U74)*10)),"")</f>
        <v>0.1015625</v>
      </c>
      <c r="AE74" s="11">
        <v>0</v>
      </c>
      <c r="AF74" t="str">
        <f>CONCATENATE(VLOOKUP(AG74, 'Voxel Sizes'!$A$2:$B$18,2,FALSE),"x",INT(AC74*15), "x", INT(AD74*15))</f>
        <v>0x0x0</v>
      </c>
      <c r="AG74">
        <f>ROUND(15*((AB74*10)/256),0)</f>
        <v>0</v>
      </c>
      <c r="AI74" t="str">
        <f>CONCATENATE(VLOOKUP(AG74,Constants!$A$2:$C$16,IF(AH74&lt;&gt;"", 3, 2), FALSE),IF(AH74&lt;&gt;"",CONCATENATE(",",VLOOKUP(AH74,$B:$AI,34,FALSE)),""))</f>
        <v>na</v>
      </c>
      <c r="AP74">
        <v>40</v>
      </c>
      <c r="AQ74" t="str">
        <f>IF(I74&lt;&gt;"",MAX(8,(I74-G74)-4),"")</f>
        <v/>
      </c>
      <c r="AT74">
        <f>MIN(Y74/150, 1)*30</f>
        <v>0</v>
      </c>
      <c r="AU74">
        <f>MIN(K74/4000, 1)*20</f>
        <v>0</v>
      </c>
      <c r="AV74">
        <f>MIN(W74/400,1)*20</f>
        <v>3.25</v>
      </c>
      <c r="AW74" s="4">
        <v>1</v>
      </c>
      <c r="AX74">
        <f>((MAX($J74,1)*MIN($AE74/300,1)))*IF(D74="Wagon",50,10)</f>
        <v>0</v>
      </c>
      <c r="AY74">
        <f>VLOOKUP($E74,Constants!$I:$K, 2, FALSE)</f>
        <v>1.1499999999999999</v>
      </c>
      <c r="AZ74">
        <f>VLOOKUP($E74,Constants!$I:$K, 3, FALSE)*IF(AND(D74="multiple_unit",Y74&lt;110),0.75,1)</f>
        <v>1.7</v>
      </c>
      <c r="BA74">
        <f>INT(POWER(((Constants!$G$2+$AT74+$AU74+$AV74+$AX74)*$AW74)*$AZ74, 1.05))+$AS74</f>
        <v>16</v>
      </c>
      <c r="BB74">
        <f>INT(((Constants!$G$1+$AT74+$AU74+$AV74+$AX74)*(1/$AW74))*$AY74)+$AR74</f>
        <v>43</v>
      </c>
      <c r="BL74" t="str">
        <f>VLOOKUP(G74,Eras!$A$2:$C$10, 2, TRUE)</f>
        <v>vct</v>
      </c>
      <c r="BN74" t="str">
        <f>CONCATENATE(BL74,"_",BM74)</f>
        <v>vct_</v>
      </c>
      <c r="BO74" t="str">
        <f t="shared" si="4"/>
        <v/>
      </c>
      <c r="BP74" t="str">
        <f t="shared" si="5"/>
        <v/>
      </c>
      <c r="BR74" t="str">
        <f t="shared" si="6"/>
        <v/>
      </c>
      <c r="BS74" t="str">
        <f t="shared" si="7"/>
        <v>{SILVER}</v>
      </c>
    </row>
    <row r="75" spans="1:71" x14ac:dyDescent="0.25">
      <c r="A75" t="s">
        <v>7</v>
      </c>
      <c r="B75" t="s">
        <v>252</v>
      </c>
      <c r="C75">
        <v>168</v>
      </c>
      <c r="D75" t="s">
        <v>169</v>
      </c>
      <c r="E75" t="s">
        <v>313</v>
      </c>
      <c r="F75" t="s">
        <v>316</v>
      </c>
      <c r="G75">
        <v>1859</v>
      </c>
      <c r="T75">
        <v>27.4</v>
      </c>
      <c r="X75" s="4" t="str">
        <f>IF(AND(T75&gt;0,W75&gt;0),(W75/((T75+U75)*10)),"")</f>
        <v/>
      </c>
      <c r="Y75">
        <v>70</v>
      </c>
      <c r="AE75" s="11">
        <v>0</v>
      </c>
      <c r="AF75" t="str">
        <f>CONCATENATE(VLOOKUP(AG75, 'Voxel Sizes'!$A$2:$B$18,2,FALSE),"x",INT(AC75*15), "x", INT(AD75*15))</f>
        <v>0x0x0</v>
      </c>
      <c r="AG75">
        <f>ROUND(15*((AB75*10)/256),0)</f>
        <v>0</v>
      </c>
      <c r="AI75" t="str">
        <f>CONCATENATE(VLOOKUP(AG75,Constants!$A$2:$C$16,IF(AH75&lt;&gt;"", 3, 2), FALSE),IF(AH75&lt;&gt;"",CONCATENATE(",",VLOOKUP(AH75,$B:$AI,34,FALSE)),""))</f>
        <v>na</v>
      </c>
      <c r="AP75">
        <v>40</v>
      </c>
      <c r="AQ75" t="str">
        <f>IF(I75&lt;&gt;"",MAX(8,(I75-G75)-4),"")</f>
        <v/>
      </c>
      <c r="AT75">
        <f>MIN(Y75/150, 1)*30</f>
        <v>14</v>
      </c>
      <c r="AU75">
        <f>MIN(K75/4000, 1)*20</f>
        <v>0</v>
      </c>
      <c r="AV75">
        <f>MIN(W75/400,1)*20</f>
        <v>0</v>
      </c>
      <c r="AW75" s="4">
        <v>1</v>
      </c>
      <c r="AX75">
        <f>((MAX($J75,1)*MIN($AE75/300,1)))*IF(D75="Wagon",50,10)</f>
        <v>0</v>
      </c>
      <c r="AY75">
        <f>VLOOKUP($E75,Constants!$I:$K, 2, FALSE)</f>
        <v>1.1499999999999999</v>
      </c>
      <c r="AZ75">
        <f>VLOOKUP($E75,Constants!$I:$K, 3, FALSE)*IF(AND(D75="multiple_unit",Y75&lt;110),0.75,1)</f>
        <v>1.7</v>
      </c>
      <c r="BA75">
        <f>INT(POWER(((Constants!$G$2+$AT75+$AU75+$AV75+$AX75)*$AW75)*$AZ75, 1.05))+$AS75</f>
        <v>38</v>
      </c>
      <c r="BB75">
        <f>INT(((Constants!$G$1+$AT75+$AU75+$AV75+$AX75)*(1/$AW75))*$AY75)+$AR75</f>
        <v>56</v>
      </c>
      <c r="BL75" t="str">
        <f>VLOOKUP(G75,Eras!$A$2:$C$10, 2, TRUE)</f>
        <v>vct</v>
      </c>
      <c r="BN75" t="str">
        <f>CONCATENATE(BL75,"_",BM75)</f>
        <v>vct_</v>
      </c>
      <c r="BO75" t="str">
        <f t="shared" si="4"/>
        <v/>
      </c>
      <c r="BP75" t="str">
        <f t="shared" si="5"/>
        <v/>
      </c>
      <c r="BR75" t="str">
        <f t="shared" si="6"/>
        <v/>
      </c>
      <c r="BS75" t="str">
        <f t="shared" si="7"/>
        <v>{SILVER}</v>
      </c>
    </row>
    <row r="76" spans="1:71" x14ac:dyDescent="0.25">
      <c r="A76" t="s">
        <v>19</v>
      </c>
      <c r="B76" t="s">
        <v>176</v>
      </c>
      <c r="C76">
        <v>170</v>
      </c>
      <c r="D76" t="s">
        <v>169</v>
      </c>
      <c r="E76" t="s">
        <v>313</v>
      </c>
      <c r="F76" t="s">
        <v>316</v>
      </c>
      <c r="G76">
        <v>1868</v>
      </c>
      <c r="T76">
        <v>35.799999999999997</v>
      </c>
      <c r="W76">
        <v>65</v>
      </c>
      <c r="X76" s="4">
        <f>IF(AND(T76&gt;0,W76&gt;0),(W76/((T76+U76)*10)),"")</f>
        <v>0.18156424581005587</v>
      </c>
      <c r="AA76">
        <v>8.65</v>
      </c>
      <c r="AB76">
        <v>8.65</v>
      </c>
      <c r="AD76">
        <v>3.7</v>
      </c>
      <c r="AE76" s="11">
        <v>0</v>
      </c>
      <c r="AF76" t="str">
        <f>CONCATENATE(VLOOKUP(AG76, 'Voxel Sizes'!$A$2:$B$18,2,FALSE),"x",INT(AC76*15), "x", INT(AD76*15))</f>
        <v>82x0x55</v>
      </c>
      <c r="AG76">
        <f>ROUND(15*((AB76*10)/256),0)</f>
        <v>5</v>
      </c>
      <c r="AI76" t="str">
        <f>CONCATENATE(VLOOKUP(AG76,Constants!$A$2:$C$16,IF(AH76&lt;&gt;"", 3, 2), FALSE),IF(AH76&lt;&gt;"",CONCATENATE(",",VLOOKUP(AH76,$B:$AI,34,FALSE)),""))</f>
        <v>2,1,2</v>
      </c>
      <c r="AP76">
        <v>40</v>
      </c>
      <c r="AQ76" t="str">
        <f>IF(I76&lt;&gt;"",MAX(8,(I76-G76)-4),"")</f>
        <v/>
      </c>
      <c r="AT76">
        <f>MIN(Y76/150, 1)*30</f>
        <v>0</v>
      </c>
      <c r="AU76">
        <f>MIN(K76/4000, 1)*20</f>
        <v>0</v>
      </c>
      <c r="AV76">
        <f>MIN(W76/400,1)*20</f>
        <v>3.25</v>
      </c>
      <c r="AW76" s="4">
        <v>1</v>
      </c>
      <c r="AX76">
        <f>((MAX($J76,1)*MIN($AE76/300,1)))*IF(D76="Wagon",50,10)</f>
        <v>0</v>
      </c>
      <c r="AY76">
        <f>VLOOKUP($E76,Constants!$I:$K, 2, FALSE)</f>
        <v>1.1499999999999999</v>
      </c>
      <c r="AZ76">
        <f>VLOOKUP($E76,Constants!$I:$K, 3, FALSE)*IF(AND(D76="multiple_unit",Y76&lt;110),0.75,1)</f>
        <v>1.7</v>
      </c>
      <c r="BA76">
        <f>INT(POWER(((Constants!$G$2+$AT76+$AU76+$AV76+$AX76)*$AW76)*$AZ76, 1.05))+$AS76</f>
        <v>16</v>
      </c>
      <c r="BB76">
        <f>INT(((Constants!$G$1+$AT76+$AU76+$AV76+$AX76)*(1/$AW76))*$AY76)+$AR76</f>
        <v>43</v>
      </c>
      <c r="BL76" t="str">
        <f>VLOOKUP(G76,Eras!$A$2:$C$10, 2, TRUE)</f>
        <v>vct</v>
      </c>
      <c r="BN76" t="str">
        <f>CONCATENATE(BL76,"_",BM76)</f>
        <v>vct_</v>
      </c>
      <c r="BO76" t="str">
        <f t="shared" si="4"/>
        <v/>
      </c>
      <c r="BP76" t="str">
        <f t="shared" si="5"/>
        <v/>
      </c>
      <c r="BR76" t="str">
        <f t="shared" si="6"/>
        <v/>
      </c>
      <c r="BS76" t="str">
        <f t="shared" si="7"/>
        <v>{SILVER}</v>
      </c>
    </row>
    <row r="77" spans="1:71" x14ac:dyDescent="0.25">
      <c r="A77" t="s">
        <v>42</v>
      </c>
      <c r="B77" t="s">
        <v>253</v>
      </c>
      <c r="C77">
        <v>172</v>
      </c>
      <c r="D77" t="s">
        <v>169</v>
      </c>
      <c r="E77" t="s">
        <v>313</v>
      </c>
      <c r="F77" t="s">
        <v>316</v>
      </c>
      <c r="G77">
        <v>1872</v>
      </c>
      <c r="H77">
        <v>1880</v>
      </c>
      <c r="T77">
        <v>28</v>
      </c>
      <c r="W77">
        <v>34</v>
      </c>
      <c r="X77" s="4">
        <f>IF(AND(T77&gt;0,W77&gt;0),(W77/((T77+U77)*10)),"")</f>
        <v>0.12142857142857143</v>
      </c>
      <c r="Y77">
        <v>45</v>
      </c>
      <c r="AA77">
        <v>7.94</v>
      </c>
      <c r="AB77">
        <v>7.94</v>
      </c>
      <c r="AE77" s="11">
        <v>0</v>
      </c>
      <c r="AF77" t="str">
        <f>CONCATENATE(VLOOKUP(AG77, 'Voxel Sizes'!$A$2:$B$18,2,FALSE),"x",INT(AC77*15), "x", INT(AD77*15))</f>
        <v>82x0x0</v>
      </c>
      <c r="AG77">
        <f>ROUND(15*((AB77*10)/256),0)</f>
        <v>5</v>
      </c>
      <c r="AI77" t="str">
        <f>CONCATENATE(VLOOKUP(AG77,Constants!$A$2:$C$16,IF(AH77&lt;&gt;"", 3, 2), FALSE),IF(AH77&lt;&gt;"",CONCATENATE(",",VLOOKUP(AH77,$B:$AI,34,FALSE)),""))</f>
        <v>2,1,2</v>
      </c>
      <c r="AP77">
        <v>40</v>
      </c>
      <c r="AQ77" t="str">
        <f>IF(I77&lt;&gt;"",MAX(8,(I77-G77)-4),"")</f>
        <v/>
      </c>
      <c r="AT77">
        <f>MIN(Y77/150, 1)*30</f>
        <v>9</v>
      </c>
      <c r="AU77">
        <f>MIN(K77/4000, 1)*20</f>
        <v>0</v>
      </c>
      <c r="AV77">
        <f>MIN(W77/400,1)*20</f>
        <v>1.7000000000000002</v>
      </c>
      <c r="AW77" s="4">
        <v>1</v>
      </c>
      <c r="AX77">
        <f>((MAX($J77,1)*MIN($AE77/300,1)))*IF(D77="Wagon",50,10)</f>
        <v>0</v>
      </c>
      <c r="AY77">
        <f>VLOOKUP($E77,Constants!$I:$K, 2, FALSE)</f>
        <v>1.1499999999999999</v>
      </c>
      <c r="AZ77">
        <f>VLOOKUP($E77,Constants!$I:$K, 3, FALSE)*IF(AND(D77="multiple_unit",Y77&lt;110),0.75,1)</f>
        <v>1.7</v>
      </c>
      <c r="BA77">
        <f>INT(POWER(((Constants!$G$2+$AT77+$AU77+$AV77+$AX77)*$AW77)*$AZ77, 1.05))+$AS77</f>
        <v>31</v>
      </c>
      <c r="BB77">
        <f>INT(((Constants!$G$1+$AT77+$AU77+$AV77+$AX77)*(1/$AW77))*$AY77)+$AR77</f>
        <v>52</v>
      </c>
      <c r="BL77" t="str">
        <f>VLOOKUP(G77,Eras!$A$2:$C$10, 2, TRUE)</f>
        <v>vct</v>
      </c>
      <c r="BN77" t="str">
        <f>CONCATENATE(BL77,"_",BM77)</f>
        <v>vct_</v>
      </c>
      <c r="BO77" t="str">
        <f t="shared" si="4"/>
        <v/>
      </c>
      <c r="BP77" t="str">
        <f t="shared" si="5"/>
        <v/>
      </c>
      <c r="BR77" t="str">
        <f t="shared" si="6"/>
        <v/>
      </c>
      <c r="BS77" t="str">
        <f t="shared" si="7"/>
        <v>{SILVER}</v>
      </c>
    </row>
    <row r="78" spans="1:71" x14ac:dyDescent="0.25">
      <c r="A78" t="s">
        <v>9</v>
      </c>
      <c r="B78" t="s">
        <v>177</v>
      </c>
      <c r="C78">
        <v>174</v>
      </c>
      <c r="D78" t="s">
        <v>169</v>
      </c>
      <c r="E78" t="s">
        <v>313</v>
      </c>
      <c r="F78" t="s">
        <v>316</v>
      </c>
      <c r="G78">
        <v>1883</v>
      </c>
      <c r="T78">
        <f>41.6+34.3</f>
        <v>75.900000000000006</v>
      </c>
      <c r="W78">
        <v>75.400000000000006</v>
      </c>
      <c r="X78" s="4">
        <f>IF(AND(T78&gt;0,W78&gt;0),(W78/((T78+U78)*10)),"")</f>
        <v>9.9341238471673268E-2</v>
      </c>
      <c r="AE78" s="11">
        <v>0</v>
      </c>
      <c r="AF78" t="str">
        <f>CONCATENATE(VLOOKUP(AG78, 'Voxel Sizes'!$A$2:$B$18,2,FALSE),"x",INT(AC78*15), "x", INT(AD78*15))</f>
        <v>0x0x0</v>
      </c>
      <c r="AG78">
        <f>ROUND(15*((AB78*10)/256),0)</f>
        <v>0</v>
      </c>
      <c r="AI78" t="str">
        <f>CONCATENATE(VLOOKUP(AG78,Constants!$A$2:$C$16,IF(AH78&lt;&gt;"", 3, 2), FALSE),IF(AH78&lt;&gt;"",CONCATENATE(",",VLOOKUP(AH78,$B:$AI,34,FALSE)),""))</f>
        <v>na</v>
      </c>
      <c r="AP78">
        <v>40</v>
      </c>
      <c r="AQ78" t="str">
        <f>IF(I78&lt;&gt;"",MAX(8,(I78-G78)-4),"")</f>
        <v/>
      </c>
      <c r="AT78">
        <f>MIN(Y78/150, 1)*30</f>
        <v>0</v>
      </c>
      <c r="AU78">
        <f>MIN(K78/4000, 1)*20</f>
        <v>0</v>
      </c>
      <c r="AV78">
        <f>MIN(W78/400,1)*20</f>
        <v>3.77</v>
      </c>
      <c r="AW78" s="4">
        <v>1</v>
      </c>
      <c r="AX78">
        <f>((MAX($J78,1)*MIN($AE78/300,1)))*IF(D78="Wagon",50,10)</f>
        <v>0</v>
      </c>
      <c r="AY78">
        <f>VLOOKUP($E78,Constants!$I:$K, 2, FALSE)</f>
        <v>1.1499999999999999</v>
      </c>
      <c r="AZ78">
        <f>VLOOKUP($E78,Constants!$I:$K, 3, FALSE)*IF(AND(D78="multiple_unit",Y78&lt;110),0.75,1)</f>
        <v>1.7</v>
      </c>
      <c r="BA78">
        <f>INT(POWER(((Constants!$G$2+$AT78+$AU78+$AV78+$AX78)*$AW78)*$AZ78, 1.05))+$AS78</f>
        <v>17</v>
      </c>
      <c r="BB78">
        <f>INT(((Constants!$G$1+$AT78+$AU78+$AV78+$AX78)*(1/$AW78))*$AY78)+$AR78</f>
        <v>44</v>
      </c>
      <c r="BL78" t="str">
        <f>VLOOKUP(G78,Eras!$A$2:$C$10, 2, TRUE)</f>
        <v>vct</v>
      </c>
      <c r="BN78" t="str">
        <f>CONCATENATE(BL78,"_",BM78)</f>
        <v>vct_</v>
      </c>
      <c r="BO78" t="str">
        <f t="shared" si="4"/>
        <v/>
      </c>
      <c r="BP78" t="str">
        <f t="shared" si="5"/>
        <v/>
      </c>
      <c r="BR78" t="str">
        <f t="shared" si="6"/>
        <v/>
      </c>
      <c r="BS78" t="str">
        <f t="shared" si="7"/>
        <v>{SILVER}</v>
      </c>
    </row>
    <row r="79" spans="1:71" x14ac:dyDescent="0.25">
      <c r="A79" t="s">
        <v>146</v>
      </c>
      <c r="B79" t="s">
        <v>178</v>
      </c>
      <c r="C79">
        <v>176</v>
      </c>
      <c r="D79" t="s">
        <v>169</v>
      </c>
      <c r="E79" t="s">
        <v>313</v>
      </c>
      <c r="F79" t="s">
        <v>316</v>
      </c>
      <c r="G79">
        <v>1883</v>
      </c>
      <c r="T79">
        <v>41.2</v>
      </c>
      <c r="W79">
        <v>76</v>
      </c>
      <c r="X79" s="4">
        <f>IF(AND(T79&gt;0,W79&gt;0),(W79/((T79+U79)*10)),"")</f>
        <v>0.18446601941747573</v>
      </c>
      <c r="AA79">
        <v>14.4</v>
      </c>
      <c r="AB79">
        <v>14.4</v>
      </c>
      <c r="AE79" s="11">
        <v>0</v>
      </c>
      <c r="AF79" t="str">
        <f>CONCATENATE(VLOOKUP(AG79, 'Voxel Sizes'!$A$2:$B$18,2,FALSE),"x",INT(AC79*15), "x", INT(AD79*15))</f>
        <v>136x0x0</v>
      </c>
      <c r="AG79">
        <f>ROUND(15*((AB79*10)/256),0)</f>
        <v>8</v>
      </c>
      <c r="AI79" t="str">
        <f>CONCATENATE(VLOOKUP(AG79,Constants!$A$2:$C$16,IF(AH79&lt;&gt;"", 3, 2), FALSE),IF(AH79&lt;&gt;"",CONCATENATE(",",VLOOKUP(AH79,$B:$AI,34,FALSE)),""))</f>
        <v>2,4,2</v>
      </c>
      <c r="AP79">
        <v>40</v>
      </c>
      <c r="AQ79" t="str">
        <f>IF(I79&lt;&gt;"",MAX(8,(I79-G79)-4),"")</f>
        <v/>
      </c>
      <c r="AT79">
        <f>MIN(Y79/150, 1)*30</f>
        <v>0</v>
      </c>
      <c r="AU79">
        <f>MIN(K79/4000, 1)*20</f>
        <v>0</v>
      </c>
      <c r="AV79">
        <f>MIN(W79/400,1)*20</f>
        <v>3.8</v>
      </c>
      <c r="AW79" s="4">
        <v>1</v>
      </c>
      <c r="AX79">
        <f>((MAX($J79,1)*MIN($AE79/300,1)))*IF(D79="Wagon",50,10)</f>
        <v>0</v>
      </c>
      <c r="AY79">
        <f>VLOOKUP($E79,Constants!$I:$K, 2, FALSE)</f>
        <v>1.1499999999999999</v>
      </c>
      <c r="AZ79">
        <f>VLOOKUP($E79,Constants!$I:$K, 3, FALSE)*IF(AND(D79="multiple_unit",Y79&lt;110),0.75,1)</f>
        <v>1.7</v>
      </c>
      <c r="BA79">
        <f>INT(POWER(((Constants!$G$2+$AT79+$AU79+$AV79+$AX79)*$AW79)*$AZ79, 1.05))+$AS79</f>
        <v>17</v>
      </c>
      <c r="BB79">
        <f>INT(((Constants!$G$1+$AT79+$AU79+$AV79+$AX79)*(1/$AW79))*$AY79)+$AR79</f>
        <v>44</v>
      </c>
      <c r="BL79" t="str">
        <f>VLOOKUP(G79,Eras!$A$2:$C$10, 2, TRUE)</f>
        <v>vct</v>
      </c>
      <c r="BN79" t="str">
        <f>CONCATENATE(BL79,"_",BM79)</f>
        <v>vct_</v>
      </c>
      <c r="BO79" t="str">
        <f t="shared" si="4"/>
        <v/>
      </c>
      <c r="BP79" t="str">
        <f t="shared" si="5"/>
        <v/>
      </c>
      <c r="BR79" t="str">
        <f t="shared" si="6"/>
        <v/>
      </c>
      <c r="BS79" t="str">
        <f t="shared" si="7"/>
        <v>{SILVER}</v>
      </c>
    </row>
    <row r="80" spans="1:71" x14ac:dyDescent="0.25">
      <c r="A80" t="s">
        <v>15</v>
      </c>
      <c r="B80" t="s">
        <v>179</v>
      </c>
      <c r="C80">
        <v>178</v>
      </c>
      <c r="D80" t="s">
        <v>169</v>
      </c>
      <c r="E80" t="s">
        <v>313</v>
      </c>
      <c r="F80" t="s">
        <v>316</v>
      </c>
      <c r="G80">
        <v>1888</v>
      </c>
      <c r="T80">
        <v>42.6</v>
      </c>
      <c r="W80">
        <v>88</v>
      </c>
      <c r="X80" s="4">
        <f>IF(AND(T80&gt;0,W80&gt;0),(W80/((T80+U80)*10)),"")</f>
        <v>0.20657276995305165</v>
      </c>
      <c r="AA80">
        <v>14.99</v>
      </c>
      <c r="AB80">
        <v>14.99</v>
      </c>
      <c r="AE80" s="11">
        <v>0</v>
      </c>
      <c r="AF80" t="str">
        <f>CONCATENATE(VLOOKUP(AG80, 'Voxel Sizes'!$A$2:$B$18,2,FALSE),"x",INT(AC80*15), "x", INT(AD80*15))</f>
        <v>152x0x0</v>
      </c>
      <c r="AG80">
        <f>ROUND(15*((AB80*10)/256),0)</f>
        <v>9</v>
      </c>
      <c r="AI80" t="str">
        <f>CONCATENATE(VLOOKUP(AG80,Constants!$A$2:$C$16,IF(AH80&lt;&gt;"", 3, 2), FALSE),IF(AH80&lt;&gt;"",CONCATENATE(",",VLOOKUP(AH80,$B:$AI,34,FALSE)),""))</f>
        <v>2,5,2</v>
      </c>
      <c r="AP80">
        <v>40</v>
      </c>
      <c r="AQ80" t="str">
        <f>IF(I80&lt;&gt;"",MAX(8,(I80-G80)-4),"")</f>
        <v/>
      </c>
      <c r="AT80">
        <f>MIN(Y80/150, 1)*30</f>
        <v>0</v>
      </c>
      <c r="AU80">
        <f>MIN(K80/4000, 1)*20</f>
        <v>0</v>
      </c>
      <c r="AV80">
        <f>MIN(W80/400,1)*20</f>
        <v>4.4000000000000004</v>
      </c>
      <c r="AW80" s="4">
        <v>1</v>
      </c>
      <c r="AX80">
        <f>((MAX($J80,1)*MIN($AE80/300,1)))*IF(D80="Wagon",50,10)</f>
        <v>0</v>
      </c>
      <c r="AY80">
        <f>VLOOKUP($E80,Constants!$I:$K, 2, FALSE)</f>
        <v>1.1499999999999999</v>
      </c>
      <c r="AZ80">
        <f>VLOOKUP($E80,Constants!$I:$K, 3, FALSE)*IF(AND(D80="multiple_unit",Y80&lt;110),0.75,1)</f>
        <v>1.7</v>
      </c>
      <c r="BA80">
        <f>INT(POWER(((Constants!$G$2+$AT80+$AU80+$AV80+$AX80)*$AW80)*$AZ80, 1.05))+$AS80</f>
        <v>18</v>
      </c>
      <c r="BB80">
        <f>INT(((Constants!$G$1+$AT80+$AU80+$AV80+$AX80)*(1/$AW80))*$AY80)+$AR80</f>
        <v>45</v>
      </c>
      <c r="BL80" t="str">
        <f>VLOOKUP(G80,Eras!$A$2:$C$10, 2, TRUE)</f>
        <v>vct</v>
      </c>
      <c r="BN80" t="str">
        <f>CONCATENATE(BL80,"_",BM80)</f>
        <v>vct_</v>
      </c>
      <c r="BO80" t="str">
        <f t="shared" si="4"/>
        <v/>
      </c>
      <c r="BP80" t="str">
        <f t="shared" si="5"/>
        <v/>
      </c>
      <c r="BR80" t="str">
        <f t="shared" si="6"/>
        <v/>
      </c>
      <c r="BS80" t="str">
        <f t="shared" si="7"/>
        <v>{SILVER}</v>
      </c>
    </row>
    <row r="81" spans="1:71" x14ac:dyDescent="0.25">
      <c r="A81" t="s">
        <v>8</v>
      </c>
      <c r="B81" t="s">
        <v>180</v>
      </c>
      <c r="C81">
        <v>180</v>
      </c>
      <c r="D81" t="s">
        <v>169</v>
      </c>
      <c r="E81" t="s">
        <v>313</v>
      </c>
      <c r="F81" t="s">
        <v>316</v>
      </c>
      <c r="G81">
        <v>1891</v>
      </c>
      <c r="X81" s="4" t="str">
        <f>IF(AND(T81&gt;0,W81&gt;0),(W81/((T81+U81)*10)),"")</f>
        <v/>
      </c>
      <c r="AE81" s="11">
        <v>0</v>
      </c>
      <c r="AF81" t="str">
        <f>CONCATENATE(VLOOKUP(AG81, 'Voxel Sizes'!$A$2:$B$18,2,FALSE),"x",INT(AC81*15), "x", INT(AD81*15))</f>
        <v>0x0x0</v>
      </c>
      <c r="AG81">
        <f>ROUND(15*((AB81*10)/256),0)</f>
        <v>0</v>
      </c>
      <c r="AI81" t="str">
        <f>CONCATENATE(VLOOKUP(AG81,Constants!$A$2:$C$16,IF(AH81&lt;&gt;"", 3, 2), FALSE),IF(AH81&lt;&gt;"",CONCATENATE(",",VLOOKUP(AH81,$B:$AI,34,FALSE)),""))</f>
        <v>na</v>
      </c>
      <c r="AP81">
        <v>40</v>
      </c>
      <c r="AQ81" t="str">
        <f>IF(I81&lt;&gt;"",MAX(8,(I81-G81)-4),"")</f>
        <v/>
      </c>
      <c r="AT81">
        <f>MIN(Y81/150, 1)*30</f>
        <v>0</v>
      </c>
      <c r="AU81">
        <f>MIN(K81/4000, 1)*20</f>
        <v>0</v>
      </c>
      <c r="AV81">
        <f>MIN(W81/400,1)*20</f>
        <v>0</v>
      </c>
      <c r="AW81" s="4">
        <v>1</v>
      </c>
      <c r="AX81">
        <f>((MAX($J81,1)*MIN($AE81/300,1)))*IF(D81="Wagon",50,10)</f>
        <v>0</v>
      </c>
      <c r="AY81">
        <f>VLOOKUP($E81,Constants!$I:$K, 2, FALSE)</f>
        <v>1.1499999999999999</v>
      </c>
      <c r="AZ81">
        <f>VLOOKUP($E81,Constants!$I:$K, 3, FALSE)*IF(AND(D81="multiple_unit",Y81&lt;110),0.75,1)</f>
        <v>1.7</v>
      </c>
      <c r="BA81">
        <f>INT(POWER(((Constants!$G$2+$AT81+$AU81+$AV81+$AX81)*$AW81)*$AZ81, 1.05))+$AS81</f>
        <v>9</v>
      </c>
      <c r="BB81">
        <f>INT(((Constants!$G$1+$AT81+$AU81+$AV81+$AX81)*(1/$AW81))*$AY81)+$AR81</f>
        <v>40</v>
      </c>
      <c r="BL81" t="str">
        <f>VLOOKUP(G81,Eras!$A$2:$C$10, 2, TRUE)</f>
        <v>vct</v>
      </c>
      <c r="BM81" t="s">
        <v>370</v>
      </c>
      <c r="BN81" t="str">
        <f>CONCATENATE(BL81,"_",BM81)</f>
        <v>vct_Express</v>
      </c>
      <c r="BO81" t="str">
        <f t="shared" si="4"/>
        <v/>
      </c>
      <c r="BP81" t="str">
        <f t="shared" si="5"/>
        <v/>
      </c>
      <c r="BR81" t="str">
        <f t="shared" si="6"/>
        <v/>
      </c>
      <c r="BS81" t="str">
        <f t="shared" si="7"/>
        <v>{SILVER}</v>
      </c>
    </row>
    <row r="82" spans="1:71" x14ac:dyDescent="0.25">
      <c r="A82" t="s">
        <v>17</v>
      </c>
      <c r="B82" t="s">
        <v>282</v>
      </c>
      <c r="C82">
        <v>182</v>
      </c>
      <c r="D82" t="s">
        <v>169</v>
      </c>
      <c r="E82" t="s">
        <v>313</v>
      </c>
      <c r="F82" t="s">
        <v>316</v>
      </c>
      <c r="G82">
        <v>1896</v>
      </c>
      <c r="T82">
        <v>48</v>
      </c>
      <c r="W82">
        <v>68</v>
      </c>
      <c r="X82" s="4">
        <f>IF(AND(T82&gt;0,W82&gt;0),(W82/((T82+U82)*10)),"")</f>
        <v>0.14166666666666666</v>
      </c>
      <c r="Y82">
        <v>90</v>
      </c>
      <c r="AE82" s="11">
        <v>0</v>
      </c>
      <c r="AF82" t="str">
        <f>CONCATENATE(VLOOKUP(AG82, 'Voxel Sizes'!$A$2:$B$18,2,FALSE),"x",INT(AC82*15), "x", INT(AD82*15))</f>
        <v>0x0x0</v>
      </c>
      <c r="AG82">
        <f>ROUND(15*((AB82*10)/256),0)</f>
        <v>0</v>
      </c>
      <c r="AI82" t="str">
        <f>CONCATENATE(VLOOKUP(AG82,Constants!$A$2:$C$16,IF(AH82&lt;&gt;"", 3, 2), FALSE),IF(AH82&lt;&gt;"",CONCATENATE(",",VLOOKUP(AH82,$B:$AI,34,FALSE)),""))</f>
        <v>na</v>
      </c>
      <c r="AP82">
        <v>40</v>
      </c>
      <c r="AQ82" t="str">
        <f>IF(I82&lt;&gt;"",MAX(8,(I82-G82)-4),"")</f>
        <v/>
      </c>
      <c r="AT82">
        <f>MIN(Y82/150, 1)*30</f>
        <v>18</v>
      </c>
      <c r="AU82">
        <f>MIN(K82/4000, 1)*20</f>
        <v>0</v>
      </c>
      <c r="AV82">
        <f>MIN(W82/400,1)*20</f>
        <v>3.4000000000000004</v>
      </c>
      <c r="AW82" s="4">
        <v>1</v>
      </c>
      <c r="AX82">
        <f>((MAX($J82,1)*MIN($AE82/300,1)))*IF(D82="Wagon",50,10)</f>
        <v>0</v>
      </c>
      <c r="AY82">
        <f>VLOOKUP($E82,Constants!$I:$K, 2, FALSE)</f>
        <v>1.1499999999999999</v>
      </c>
      <c r="AZ82">
        <f>VLOOKUP($E82,Constants!$I:$K, 3, FALSE)*IF(AND(D82="multiple_unit",Y82&lt;110),0.75,1)</f>
        <v>1.7</v>
      </c>
      <c r="BA82">
        <f>INT(POWER(((Constants!$G$2+$AT82+$AU82+$AV82+$AX82)*$AW82)*$AZ82, 1.05))+$AS82</f>
        <v>54</v>
      </c>
      <c r="BB82">
        <f>INT(((Constants!$G$1+$AT82+$AU82+$AV82+$AX82)*(1/$AW82))*$AY82)+$AR82</f>
        <v>64</v>
      </c>
      <c r="BL82" t="str">
        <f>VLOOKUP(G82,Eras!$A$2:$C$10, 2, TRUE)</f>
        <v>vct</v>
      </c>
      <c r="BN82" t="str">
        <f>CONCATENATE(BL82,"_",BM82)</f>
        <v>vct_</v>
      </c>
      <c r="BO82" t="str">
        <f t="shared" si="4"/>
        <v/>
      </c>
      <c r="BP82" t="str">
        <f t="shared" si="5"/>
        <v/>
      </c>
      <c r="BR82" t="str">
        <f t="shared" si="6"/>
        <v/>
      </c>
      <c r="BS82" t="str">
        <f t="shared" si="7"/>
        <v>{SILVER}</v>
      </c>
    </row>
    <row r="83" spans="1:71" x14ac:dyDescent="0.25">
      <c r="A83" t="s">
        <v>153</v>
      </c>
      <c r="B83" t="s">
        <v>181</v>
      </c>
      <c r="C83">
        <v>184</v>
      </c>
      <c r="D83" t="s">
        <v>169</v>
      </c>
      <c r="E83" t="s">
        <v>313</v>
      </c>
      <c r="F83" t="s">
        <v>316</v>
      </c>
      <c r="G83">
        <v>1897</v>
      </c>
      <c r="H83">
        <v>1911</v>
      </c>
      <c r="W83">
        <v>87</v>
      </c>
      <c r="X83" s="4" t="str">
        <f>IF(AND(T83&gt;0,W83&gt;0),(W83/((T83+U83)*10)),"")</f>
        <v/>
      </c>
      <c r="AA83">
        <v>10.5</v>
      </c>
      <c r="AB83">
        <v>10.5</v>
      </c>
      <c r="AE83" s="11">
        <v>0</v>
      </c>
      <c r="AF83" t="str">
        <f>CONCATENATE(VLOOKUP(AG83, 'Voxel Sizes'!$A$2:$B$18,2,FALSE),"x",INT(AC83*15), "x", INT(AD83*15))</f>
        <v>102x0x0</v>
      </c>
      <c r="AG83">
        <f>ROUND(15*((AB83*10)/256),0)</f>
        <v>6</v>
      </c>
      <c r="AI83" t="str">
        <f>CONCATENATE(VLOOKUP(AG83,Constants!$A$2:$C$16,IF(AH83&lt;&gt;"", 3, 2), FALSE),IF(AH83&lt;&gt;"",CONCATENATE(",",VLOOKUP(AH83,$B:$AI,34,FALSE)),""))</f>
        <v>2,2,2</v>
      </c>
      <c r="AP83">
        <v>40</v>
      </c>
      <c r="AQ83" t="str">
        <f>IF(I83&lt;&gt;"",MAX(8,(I83-G83)-4),"")</f>
        <v/>
      </c>
      <c r="AT83">
        <f>MIN(Y83/150, 1)*30</f>
        <v>0</v>
      </c>
      <c r="AU83">
        <f>MIN(K83/4000, 1)*20</f>
        <v>0</v>
      </c>
      <c r="AV83">
        <f>MIN(W83/400,1)*20</f>
        <v>4.3499999999999996</v>
      </c>
      <c r="AW83" s="4">
        <v>1</v>
      </c>
      <c r="AX83">
        <f>((MAX($J83,1)*MIN($AE83/300,1)))*IF(D83="Wagon",50,10)</f>
        <v>0</v>
      </c>
      <c r="AY83">
        <f>VLOOKUP($E83,Constants!$I:$K, 2, FALSE)</f>
        <v>1.1499999999999999</v>
      </c>
      <c r="AZ83">
        <f>VLOOKUP($E83,Constants!$I:$K, 3, FALSE)*IF(AND(D83="multiple_unit",Y83&lt;110),0.75,1)</f>
        <v>1.7</v>
      </c>
      <c r="BA83">
        <f>INT(POWER(((Constants!$G$2+$AT83+$AU83+$AV83+$AX83)*$AW83)*$AZ83, 1.05))+$AS83</f>
        <v>18</v>
      </c>
      <c r="BB83">
        <f>INT(((Constants!$G$1+$AT83+$AU83+$AV83+$AX83)*(1/$AW83))*$AY83)+$AR83</f>
        <v>45</v>
      </c>
      <c r="BL83" t="str">
        <f>VLOOKUP(G83,Eras!$A$2:$C$10, 2, TRUE)</f>
        <v>vct</v>
      </c>
      <c r="BN83" t="str">
        <f>CONCATENATE(BL83,"_",BM83)</f>
        <v>vct_</v>
      </c>
      <c r="BO83" t="str">
        <f t="shared" si="4"/>
        <v/>
      </c>
      <c r="BP83" t="str">
        <f t="shared" si="5"/>
        <v/>
      </c>
      <c r="BR83" t="str">
        <f t="shared" si="6"/>
        <v/>
      </c>
      <c r="BS83" t="str">
        <f t="shared" si="7"/>
        <v>{SILVER}</v>
      </c>
    </row>
    <row r="84" spans="1:71" x14ac:dyDescent="0.25">
      <c r="A84" t="s">
        <v>12</v>
      </c>
      <c r="B84" t="s">
        <v>281</v>
      </c>
      <c r="C84">
        <v>186</v>
      </c>
      <c r="D84" t="s">
        <v>169</v>
      </c>
      <c r="E84" t="s">
        <v>313</v>
      </c>
      <c r="F84" t="s">
        <v>316</v>
      </c>
      <c r="G84">
        <v>1899</v>
      </c>
      <c r="X84" s="4" t="str">
        <f>IF(AND(T84&gt;0,W84&gt;0),(W84/((T84+U84)*10)),"")</f>
        <v/>
      </c>
      <c r="AE84" s="11">
        <v>0</v>
      </c>
      <c r="AF84" t="str">
        <f>CONCATENATE(VLOOKUP(AG84, 'Voxel Sizes'!$A$2:$B$18,2,FALSE),"x",INT(AC84*15), "x", INT(AD84*15))</f>
        <v>0x0x0</v>
      </c>
      <c r="AG84">
        <f>ROUND(15*((AB84*10)/256),0)</f>
        <v>0</v>
      </c>
      <c r="AI84" t="str">
        <f>CONCATENATE(VLOOKUP(AG84,Constants!$A$2:$C$16,IF(AH84&lt;&gt;"", 3, 2), FALSE),IF(AH84&lt;&gt;"",CONCATENATE(",",VLOOKUP(AH84,$B:$AI,34,FALSE)),""))</f>
        <v>na</v>
      </c>
      <c r="AP84">
        <v>40</v>
      </c>
      <c r="AQ84" t="str">
        <f>IF(I84&lt;&gt;"",MAX(8,(I84-G84)-4),"")</f>
        <v/>
      </c>
      <c r="AT84">
        <f>MIN(Y84/150, 1)*30</f>
        <v>0</v>
      </c>
      <c r="AU84">
        <f>MIN(K84/4000, 1)*20</f>
        <v>0</v>
      </c>
      <c r="AV84">
        <f>MIN(W84/400,1)*20</f>
        <v>0</v>
      </c>
      <c r="AW84" s="4">
        <v>1</v>
      </c>
      <c r="AX84">
        <f>((MAX($J84,1)*MIN($AE84/300,1)))*IF(D84="Wagon",50,10)</f>
        <v>0</v>
      </c>
      <c r="AY84">
        <f>VLOOKUP($E84,Constants!$I:$K, 2, FALSE)</f>
        <v>1.1499999999999999</v>
      </c>
      <c r="AZ84">
        <f>VLOOKUP($E84,Constants!$I:$K, 3, FALSE)*IF(AND(D84="multiple_unit",Y84&lt;110),0.75,1)</f>
        <v>1.7</v>
      </c>
      <c r="BA84">
        <f>INT(POWER(((Constants!$G$2+$AT84+$AU84+$AV84+$AX84)*$AW84)*$AZ84, 1.05))+$AS84</f>
        <v>9</v>
      </c>
      <c r="BB84">
        <f>INT(((Constants!$G$1+$AT84+$AU84+$AV84+$AX84)*(1/$AW84))*$AY84)+$AR84</f>
        <v>40</v>
      </c>
      <c r="BL84" t="str">
        <f>VLOOKUP(G84,Eras!$A$2:$C$10, 2, TRUE)</f>
        <v>vct</v>
      </c>
      <c r="BN84" t="str">
        <f>CONCATENATE(BL84,"_",BM84)</f>
        <v>vct_</v>
      </c>
      <c r="BO84" t="str">
        <f t="shared" si="4"/>
        <v/>
      </c>
      <c r="BP84" t="str">
        <f t="shared" si="5"/>
        <v/>
      </c>
      <c r="BR84" t="str">
        <f t="shared" si="6"/>
        <v/>
      </c>
      <c r="BS84" t="str">
        <f t="shared" si="7"/>
        <v>{SILVER}</v>
      </c>
    </row>
    <row r="85" spans="1:71" x14ac:dyDescent="0.25">
      <c r="A85" t="s">
        <v>150</v>
      </c>
      <c r="B85" t="s">
        <v>279</v>
      </c>
      <c r="C85">
        <v>188</v>
      </c>
      <c r="D85" t="s">
        <v>304</v>
      </c>
      <c r="E85" t="s">
        <v>313</v>
      </c>
      <c r="F85" t="s">
        <v>316</v>
      </c>
      <c r="G85">
        <v>1899</v>
      </c>
      <c r="H85">
        <v>1902</v>
      </c>
      <c r="I85">
        <v>1954</v>
      </c>
      <c r="K85">
        <v>600</v>
      </c>
      <c r="M85" s="6">
        <v>18</v>
      </c>
      <c r="N85" s="6">
        <v>26</v>
      </c>
      <c r="O85" s="6">
        <v>2</v>
      </c>
      <c r="P85" s="6">
        <v>160</v>
      </c>
      <c r="Q85" s="7">
        <f>((($Y85/2)/60)*5280)/($R85*3.2*PI())</f>
        <v>125.05031242934635</v>
      </c>
      <c r="R85" s="6">
        <v>1.4</v>
      </c>
      <c r="S85" s="6">
        <f>((($M85*$M85/4)*PI())*($N85/12)*$O85*$P85*$Q85)/(33000*1.1)</f>
        <v>607.79220779220771</v>
      </c>
      <c r="T85">
        <v>49.5</v>
      </c>
      <c r="W85">
        <v>92</v>
      </c>
      <c r="X85" s="4">
        <f>IF(AND(T85&gt;0,W85&gt;0),(W85/((T85+U85)*10)),"")</f>
        <v>0.18585858585858586</v>
      </c>
      <c r="Y85">
        <v>40</v>
      </c>
      <c r="AA85">
        <v>9.57</v>
      </c>
      <c r="AB85">
        <v>9.57</v>
      </c>
      <c r="AE85" s="11">
        <v>0</v>
      </c>
      <c r="AF85" t="str">
        <f>CONCATENATE(VLOOKUP(AG85, 'Voxel Sizes'!$A$2:$B$18,2,FALSE),"x",INT(AC85*15), "x", INT(AD85*15))</f>
        <v>102x0x0</v>
      </c>
      <c r="AG85">
        <f>ROUND(15*((AB85*10)/256),0)</f>
        <v>6</v>
      </c>
      <c r="AI85" t="str">
        <f>CONCATENATE(VLOOKUP(AG85,Constants!$A$2:$C$16,IF(AH85&lt;&gt;"", 3, 2), FALSE),IF(AH85&lt;&gt;"",CONCATENATE(",",VLOOKUP(AH85,$B:$AI,34,FALSE)),""))</f>
        <v>2,2,2</v>
      </c>
      <c r="AO85">
        <v>1</v>
      </c>
      <c r="AP85">
        <v>40</v>
      </c>
      <c r="AQ85">
        <f>IF(I85&lt;&gt;"",MAX(8,(I85-G85)-4),"")</f>
        <v>51</v>
      </c>
      <c r="AT85">
        <f>MIN(Y85/150, 1)*30</f>
        <v>8</v>
      </c>
      <c r="AU85">
        <f>MIN(K85/4000, 1)*20</f>
        <v>3</v>
      </c>
      <c r="AV85">
        <f>MIN(W85/400,1)*20</f>
        <v>4.6000000000000005</v>
      </c>
      <c r="AW85" s="4">
        <v>1</v>
      </c>
      <c r="AX85">
        <f>((MAX($J85,1)*MIN($AE85/300,1)))*IF(D85="Wagon",50,10)</f>
        <v>0</v>
      </c>
      <c r="AY85">
        <f>VLOOKUP($E85,Constants!$I:$K, 2, FALSE)</f>
        <v>1.1499999999999999</v>
      </c>
      <c r="AZ85">
        <f>VLOOKUP($E85,Constants!$I:$K, 3, FALSE)*IF(AND(D85="multiple_unit",Y85&lt;110),0.75,1)</f>
        <v>1.7</v>
      </c>
      <c r="BA85">
        <f>INT(POWER(((Constants!$G$2+$AT85+$AU85+$AV85+$AX85)*$AW85)*$AZ85, 1.05))+$AS85</f>
        <v>41</v>
      </c>
      <c r="BB85">
        <f>INT(((Constants!$G$1+$AT85+$AU85+$AV85+$AX85)*(1/$AW85))*$AY85)+$AR85</f>
        <v>58</v>
      </c>
      <c r="BL85" t="str">
        <f>VLOOKUP(G85,Eras!$A$2:$C$10, 2, TRUE)</f>
        <v>vct</v>
      </c>
      <c r="BM85" t="s">
        <v>368</v>
      </c>
      <c r="BN85" t="str">
        <f>CONCATENATE(BL85,"_",BM85)</f>
        <v>vct_Cheap</v>
      </c>
      <c r="BO85" t="str">
        <f t="shared" si="4"/>
        <v/>
      </c>
      <c r="BP85" t="str">
        <f t="shared" si="5"/>
        <v/>
      </c>
      <c r="BQ85" t="s">
        <v>1223</v>
      </c>
      <c r="BR85" t="str">
        <f t="shared" si="6"/>
        <v/>
      </c>
      <c r="BS85" t="str">
        <f t="shared" si="7"/>
        <v>{SILVER}Samuel Johnson's tank engine design were rebuilt later in life by Henry Fowler, providing the inspiration for Fowler's own 3F "Jinty" design.</v>
      </c>
    </row>
    <row r="86" spans="1:71" x14ac:dyDescent="0.25">
      <c r="A86" t="s">
        <v>449</v>
      </c>
      <c r="B86" t="s">
        <v>450</v>
      </c>
      <c r="C86">
        <v>194</v>
      </c>
      <c r="D86" t="s">
        <v>304</v>
      </c>
      <c r="E86" t="s">
        <v>313</v>
      </c>
      <c r="F86" t="s">
        <v>316</v>
      </c>
      <c r="G86">
        <v>1901</v>
      </c>
      <c r="H86">
        <v>1914</v>
      </c>
      <c r="I86">
        <v>1955</v>
      </c>
      <c r="K86">
        <v>350</v>
      </c>
      <c r="M86" s="6">
        <v>14</v>
      </c>
      <c r="N86" s="6">
        <v>20</v>
      </c>
      <c r="O86" s="6">
        <v>2</v>
      </c>
      <c r="P86" s="6">
        <v>160</v>
      </c>
      <c r="Q86" s="7">
        <f>((($Y86/2)/60)*5280)/($R86*3.2*PI())</f>
        <v>145.89203116757074</v>
      </c>
      <c r="R86" s="6">
        <v>0.9</v>
      </c>
      <c r="S86" s="6">
        <f>((($M86*$M86/4)*PI())*($N86/12)*$O86*$P86*$Q86)/(33000*1.1)</f>
        <v>329.96632996632997</v>
      </c>
      <c r="T86">
        <v>23</v>
      </c>
      <c r="W86">
        <v>49</v>
      </c>
      <c r="X86" s="4">
        <f>IF(AND(T86&gt;0,W86&gt;0),(W86/((T86+U86)*10)),"")</f>
        <v>0.21304347826086956</v>
      </c>
      <c r="Y86">
        <v>30</v>
      </c>
      <c r="AA86">
        <v>6.12</v>
      </c>
      <c r="AB86">
        <v>6.12</v>
      </c>
      <c r="AE86" s="11">
        <v>0</v>
      </c>
      <c r="AF86" t="str">
        <f>CONCATENATE(VLOOKUP(AG86, 'Voxel Sizes'!$A$2:$B$18,2,FALSE),"x",INT(AC86*15), "x", INT(AD86*15))</f>
        <v>60x0x0</v>
      </c>
      <c r="AG86">
        <f>ROUND(15*((AB86*10)/256),0)</f>
        <v>4</v>
      </c>
      <c r="AI86" t="str">
        <f>CONCATENATE(VLOOKUP(AG86,Constants!$A$2:$C$16,IF(AH86&lt;&gt;"", 3, 2), FALSE),IF(AH86&lt;&gt;"",CONCATENATE(",",VLOOKUP(AH86,$B:$AI,34,FALSE)),""))</f>
        <v>1,2,1</v>
      </c>
      <c r="AO86">
        <v>1</v>
      </c>
      <c r="AP86">
        <v>40</v>
      </c>
      <c r="AQ86">
        <f>IF(I86&lt;&gt;"",MAX(8,(I86-G86)-4),"")</f>
        <v>50</v>
      </c>
      <c r="AT86">
        <f>MIN(Y86/150, 1)*30</f>
        <v>6</v>
      </c>
      <c r="AU86">
        <f>MIN(K86/4000, 1)*20</f>
        <v>1.75</v>
      </c>
      <c r="AV86">
        <f>MIN(W86/400,1)*20</f>
        <v>2.4500000000000002</v>
      </c>
      <c r="AW86" s="4">
        <v>1</v>
      </c>
      <c r="AX86">
        <f>((MAX($J86,1)*MIN($AE86/300,1)))*IF(D86="Wagon",50,10)</f>
        <v>0</v>
      </c>
      <c r="AY86">
        <f>VLOOKUP($E86,Constants!$I:$K, 2, FALSE)</f>
        <v>1.1499999999999999</v>
      </c>
      <c r="AZ86">
        <f>VLOOKUP($E86,Constants!$I:$K, 3, FALSE)*IF(AND(D86="multiple_unit",Y86&lt;110),0.75,1)</f>
        <v>1.7</v>
      </c>
      <c r="BA86">
        <f>INT(POWER(((Constants!$G$2+$AT86+$AU86+$AV86+$AX86)*$AW86)*$AZ86, 1.05))+$AS86</f>
        <v>30</v>
      </c>
      <c r="BB86">
        <f>INT(((Constants!$G$1+$AT86+$AU86+$AV86+$AX86)*(1/$AW86))*$AY86)+$AR86</f>
        <v>51</v>
      </c>
      <c r="BL86" t="str">
        <f>VLOOKUP(G86,Eras!$A$2:$C$10, 2, TRUE)</f>
        <v>edw</v>
      </c>
      <c r="BM86" t="s">
        <v>368</v>
      </c>
      <c r="BN86" t="str">
        <f>CONCATENATE(BL86,"_",BM86)</f>
        <v>edw_Cheap</v>
      </c>
      <c r="BO86" t="str">
        <f t="shared" si="4"/>
        <v/>
      </c>
      <c r="BP86" t="str">
        <f t="shared" si="5"/>
        <v/>
      </c>
      <c r="BQ86" t="s">
        <v>451</v>
      </c>
      <c r="BR86" t="str">
        <f t="shared" si="6"/>
        <v/>
      </c>
      <c r="BS86" t="str">
        <f t="shared" si="7"/>
        <v>{SILVER}This 0-4-0 saddle tank engine is typical of the many acquired by the GWR from smaller railways during the 1923 grouping of railway companies into the Big Four.</v>
      </c>
    </row>
    <row r="87" spans="1:71" x14ac:dyDescent="0.25">
      <c r="A87" t="s">
        <v>16</v>
      </c>
      <c r="B87" t="s">
        <v>280</v>
      </c>
      <c r="C87">
        <v>196</v>
      </c>
      <c r="D87" t="s">
        <v>304</v>
      </c>
      <c r="E87" t="s">
        <v>313</v>
      </c>
      <c r="F87" t="s">
        <v>316</v>
      </c>
      <c r="G87">
        <v>1902</v>
      </c>
      <c r="I87">
        <v>1935</v>
      </c>
      <c r="K87">
        <v>950</v>
      </c>
      <c r="M87" s="6">
        <v>20.3</v>
      </c>
      <c r="N87" s="6">
        <v>26</v>
      </c>
      <c r="O87" s="6">
        <v>3</v>
      </c>
      <c r="P87" s="6">
        <f>220*0.5</f>
        <v>110</v>
      </c>
      <c r="Q87" s="7">
        <f>((($Y87/2)/60)*5280)/($R87*3.2*PI())</f>
        <v>166.73374990579512</v>
      </c>
      <c r="R87" s="6">
        <v>2.1</v>
      </c>
      <c r="S87" s="6">
        <f>((($M87*$M87/4)*PI())*($N87/12)*$O87*$P87*$Q87)/(33000*1.1)</f>
        <v>1062.9305555555557</v>
      </c>
      <c r="T87">
        <v>62</v>
      </c>
      <c r="U87" s="9">
        <v>42</v>
      </c>
      <c r="W87">
        <v>97</v>
      </c>
      <c r="X87" s="4">
        <f>IF(AND(T87&gt;0,W87&gt;0),(W87/((T87+U87)*10)),"")</f>
        <v>9.3269230769230771E-2</v>
      </c>
      <c r="Y87">
        <v>80</v>
      </c>
      <c r="AA87">
        <v>17.268999999999998</v>
      </c>
      <c r="AB87">
        <f>AA87-7.5</f>
        <v>9.7689999999999984</v>
      </c>
      <c r="AE87" s="11">
        <v>0</v>
      </c>
      <c r="AF87" t="str">
        <f>CONCATENATE(VLOOKUP(AG87, 'Voxel Sizes'!$A$2:$B$18,2,FALSE),"x",INT(AC87*15), "x", INT(AD87*15))</f>
        <v>102x0x0</v>
      </c>
      <c r="AG87">
        <f>ROUND(15*((AB87*10)/256),0)</f>
        <v>6</v>
      </c>
      <c r="AH87" t="s">
        <v>351</v>
      </c>
      <c r="AI87" t="str">
        <f>CONCATENATE(VLOOKUP(AG87,Constants!$A$2:$C$16,IF(AH87&lt;&gt;"", 3, 2), FALSE),IF(AH87&lt;&gt;"",CONCATENATE(",",VLOOKUP(AH87,$B:$AI,34,FALSE)),""))</f>
        <v>2,2,2,2,1,2</v>
      </c>
      <c r="AO87">
        <v>1</v>
      </c>
      <c r="AP87">
        <v>40</v>
      </c>
      <c r="AQ87">
        <f>IF(I87&lt;&gt;"",MAX(8,(I87-G87)-4),"")</f>
        <v>29</v>
      </c>
      <c r="AT87">
        <f>MIN(Y87/150, 1)*30</f>
        <v>16</v>
      </c>
      <c r="AU87">
        <f>MIN(K87/4000, 1)*20</f>
        <v>4.75</v>
      </c>
      <c r="AV87">
        <f>MIN(W87/400,1)*20</f>
        <v>4.8499999999999996</v>
      </c>
      <c r="AW87" s="4">
        <v>1</v>
      </c>
      <c r="AX87">
        <f>((MAX($J87,1)*MIN($AE87/300,1)))*IF(D87="Wagon",50,10)</f>
        <v>0</v>
      </c>
      <c r="AY87">
        <f>VLOOKUP($E87,Constants!$I:$K, 2, FALSE)</f>
        <v>1.1499999999999999</v>
      </c>
      <c r="AZ87">
        <f>VLOOKUP($E87,Constants!$I:$K, 3, FALSE)*IF(AND(D87="multiple_unit",Y87&lt;110),0.75,1)</f>
        <v>1.7</v>
      </c>
      <c r="BA87">
        <f>INT(POWER(((Constants!$G$2+$AT87+$AU87+$AV87+$AX87)*$AW87)*$AZ87, 1.05))+$AS87</f>
        <v>63</v>
      </c>
      <c r="BB87">
        <f>INT(((Constants!$G$1+$AT87+$AU87+$AV87+$AX87)*(1/$AW87))*$AY87)+$AR87</f>
        <v>69</v>
      </c>
      <c r="BL87" t="str">
        <f>VLOOKUP(G87,Eras!$A$2:$C$10, 2, TRUE)</f>
        <v>edw</v>
      </c>
      <c r="BM87" t="s">
        <v>370</v>
      </c>
      <c r="BN87" t="str">
        <f>CONCATENATE(BL87,"_",BM87)</f>
        <v>edw_Express</v>
      </c>
      <c r="BO87" t="str">
        <f t="shared" si="4"/>
        <v/>
      </c>
      <c r="BP87" t="str">
        <f t="shared" si="5"/>
        <v/>
      </c>
      <c r="BQ87" t="s">
        <v>390</v>
      </c>
      <c r="BR87" t="str">
        <f t="shared" si="6"/>
        <v/>
      </c>
      <c r="BS87" t="str">
        <f t="shared" si="7"/>
        <v>{SILVER}The 1000 class is an express locomotive with a three-cylinder arrangement, using a high pressure cylinder inside the frame and two low pressure cylinders on the outside.</v>
      </c>
    </row>
    <row r="88" spans="1:71" x14ac:dyDescent="0.25">
      <c r="A88" t="s">
        <v>66</v>
      </c>
      <c r="B88" t="s">
        <v>182</v>
      </c>
      <c r="C88">
        <v>198</v>
      </c>
      <c r="D88" t="s">
        <v>304</v>
      </c>
      <c r="E88" t="s">
        <v>338</v>
      </c>
      <c r="F88" t="s">
        <v>339</v>
      </c>
      <c r="G88">
        <v>1903</v>
      </c>
      <c r="H88">
        <v>1904</v>
      </c>
      <c r="I88">
        <v>1927</v>
      </c>
      <c r="K88">
        <v>640</v>
      </c>
      <c r="T88">
        <v>57</v>
      </c>
      <c r="W88">
        <v>111</v>
      </c>
      <c r="X88" s="4">
        <f>IF(AND(T88&gt;0,W88&gt;0),(W88/((T88+U88)*10)),"")</f>
        <v>0.19473684210526315</v>
      </c>
      <c r="Y88">
        <v>27</v>
      </c>
      <c r="AA88">
        <v>11.56</v>
      </c>
      <c r="AB88">
        <v>11.56</v>
      </c>
      <c r="AD88">
        <v>3.93</v>
      </c>
      <c r="AE88" s="11">
        <v>0</v>
      </c>
      <c r="AF88" t="str">
        <f>CONCATENATE(VLOOKUP(AG88, 'Voxel Sizes'!$A$2:$B$18,2,FALSE),"x",INT(AC88*15), "x", INT(AD88*15))</f>
        <v>120x0x58</v>
      </c>
      <c r="AG88">
        <f>ROUND(15*((AB88*10)/256),0)</f>
        <v>7</v>
      </c>
      <c r="AI88" t="str">
        <f>CONCATENATE(VLOOKUP(AG88,Constants!$A$2:$C$16,IF(AH88&lt;&gt;"", 3, 2), FALSE),IF(AH88&lt;&gt;"",CONCATENATE(",",VLOOKUP(AH88,$B:$AI,34,FALSE)),""))</f>
        <v>2,3,2</v>
      </c>
      <c r="AP88">
        <v>40</v>
      </c>
      <c r="AQ88">
        <f>IF(I88&lt;&gt;"",MAX(8,(I88-G88)-4),"")</f>
        <v>20</v>
      </c>
      <c r="AT88">
        <f>MIN(Y88/150, 1)*30</f>
        <v>5.3999999999999995</v>
      </c>
      <c r="AU88">
        <f>MIN(K88/4000, 1)*20</f>
        <v>3.2</v>
      </c>
      <c r="AV88">
        <f>MIN(W88/400,1)*20</f>
        <v>5.5500000000000007</v>
      </c>
      <c r="AW88" s="4">
        <v>1</v>
      </c>
      <c r="AX88">
        <f>((MAX($J88,1)*MIN($AE88/300,1)))*IF(D88="Wagon",50,10)</f>
        <v>0</v>
      </c>
      <c r="AY88">
        <f>VLOOKUP($E88,Constants!$I:$K, 2, FALSE)</f>
        <v>0.85</v>
      </c>
      <c r="AZ88">
        <f>VLOOKUP($E88,Constants!$I:$K, 3, FALSE)*IF(AND(D88="multiple_unit",Y88&lt;110),0.75,1)</f>
        <v>2.2999999999999998</v>
      </c>
      <c r="BA88">
        <f>INT(POWER(((Constants!$G$2+$AT88+$AU88+$AV88+$AX88)*$AW88)*$AZ88, 1.05))+$AS88</f>
        <v>53</v>
      </c>
      <c r="BB88">
        <f>INT(((Constants!$G$1+$AT88+$AU88+$AV88+$AX88)*(1/$AW88))*$AY88)+$AR88</f>
        <v>41</v>
      </c>
      <c r="BL88" t="str">
        <f>VLOOKUP(G88,Eras!$A$2:$C$10, 2, TRUE)</f>
        <v>edw</v>
      </c>
      <c r="BM88" t="s">
        <v>381</v>
      </c>
      <c r="BN88" t="str">
        <f>CONCATENATE(BL88,"_",BM88)</f>
        <v>edw_Freight (Electric)</v>
      </c>
      <c r="BO88" t="str">
        <f t="shared" si="4"/>
        <v/>
      </c>
      <c r="BP88" t="str">
        <f t="shared" si="5"/>
        <v/>
      </c>
      <c r="BQ88" t="s">
        <v>392</v>
      </c>
      <c r="BR88" t="str">
        <f t="shared" si="6"/>
        <v/>
      </c>
      <c r="BS88" t="str">
        <f t="shared" si="7"/>
        <v>{SILVER}The LNER ES1 (ES for Electric Shunter) is designed for hauling heavy freight trains on steep inclines.</v>
      </c>
    </row>
    <row r="89" spans="1:71" x14ac:dyDescent="0.25">
      <c r="A89" t="s">
        <v>18</v>
      </c>
      <c r="B89" t="s">
        <v>184</v>
      </c>
      <c r="C89">
        <v>202</v>
      </c>
      <c r="D89" t="s">
        <v>304</v>
      </c>
      <c r="E89" t="s">
        <v>313</v>
      </c>
      <c r="F89" t="s">
        <v>316</v>
      </c>
      <c r="G89">
        <v>1904</v>
      </c>
      <c r="I89">
        <v>1962</v>
      </c>
      <c r="K89">
        <v>730</v>
      </c>
      <c r="M89" s="6">
        <v>18</v>
      </c>
      <c r="N89" s="6">
        <v>26</v>
      </c>
      <c r="O89" s="6">
        <v>2</v>
      </c>
      <c r="P89" s="6">
        <v>160</v>
      </c>
      <c r="Q89" s="7">
        <f>((($Y89/2)/60)*5280)/($R89*3.2*PI())</f>
        <v>150.4511571415573</v>
      </c>
      <c r="R89" s="6">
        <v>1.6</v>
      </c>
      <c r="S89" s="6">
        <f>((($M89*$M89/4)*PI())*($N89/12)*$O89*$P89*$Q89)/(33000*1.1)</f>
        <v>731.24999999999977</v>
      </c>
      <c r="T89">
        <v>55</v>
      </c>
      <c r="W89">
        <v>77</v>
      </c>
      <c r="X89" s="4">
        <f>IF(AND(T89&gt;0,W89&gt;0),(W89/((T89+U89)*10)),"")</f>
        <v>0.14000000000000001</v>
      </c>
      <c r="Y89">
        <v>55</v>
      </c>
      <c r="AA89">
        <v>10.02</v>
      </c>
      <c r="AB89">
        <v>10.02</v>
      </c>
      <c r="AE89" s="11">
        <v>0</v>
      </c>
      <c r="AF89" t="str">
        <f>CONCATENATE(VLOOKUP(AG89, 'Voxel Sizes'!$A$2:$B$18,2,FALSE),"x",INT(AC89*15), "x", INT(AD89*15))</f>
        <v>102x0x0</v>
      </c>
      <c r="AG89">
        <f>ROUND(15*((AB89*10)/256),0)</f>
        <v>6</v>
      </c>
      <c r="AI89" t="str">
        <f>CONCATENATE(VLOOKUP(AG89,Constants!$A$2:$C$16,IF(AH89&lt;&gt;"", 3, 2), FALSE),IF(AH89&lt;&gt;"",CONCATENATE(",",VLOOKUP(AH89,$B:$AI,34,FALSE)),""))</f>
        <v>2,2,2</v>
      </c>
      <c r="AO89">
        <v>1</v>
      </c>
      <c r="AP89">
        <v>40</v>
      </c>
      <c r="AQ89">
        <f>IF(I89&lt;&gt;"",MAX(8,(I89-G89)-4),"")</f>
        <v>54</v>
      </c>
      <c r="AT89">
        <f>MIN(Y89/150, 1)*30</f>
        <v>11</v>
      </c>
      <c r="AU89">
        <f>MIN(K89/4000, 1)*20</f>
        <v>3.65</v>
      </c>
      <c r="AV89">
        <f>MIN(W89/400,1)*20</f>
        <v>3.85</v>
      </c>
      <c r="AW89" s="4">
        <v>1</v>
      </c>
      <c r="AX89">
        <f>((MAX($J89,1)*MIN($AE89/300,1)))*IF(D89="Wagon",50,10)</f>
        <v>0</v>
      </c>
      <c r="AY89">
        <f>VLOOKUP($E89,Constants!$I:$K, 2, FALSE)</f>
        <v>1.1499999999999999</v>
      </c>
      <c r="AZ89">
        <f>VLOOKUP($E89,Constants!$I:$K, 3, FALSE)*IF(AND(D89="multiple_unit",Y89&lt;110),0.75,1)</f>
        <v>1.7</v>
      </c>
      <c r="BA89">
        <f>INT(POWER(((Constants!$G$2+$AT89+$AU89+$AV89+$AX89)*$AW89)*$AZ89, 1.05))+$AS89</f>
        <v>48</v>
      </c>
      <c r="BB89">
        <f>INT(((Constants!$G$1+$AT89+$AU89+$AV89+$AX89)*(1/$AW89))*$AY89)+$AR89</f>
        <v>61</v>
      </c>
      <c r="BL89" t="str">
        <f>VLOOKUP(G89,Eras!$A$2:$C$10, 2, TRUE)</f>
        <v>edw</v>
      </c>
      <c r="BM89" t="s">
        <v>419</v>
      </c>
      <c r="BN89" t="str">
        <f>CONCATENATE(BL89,"_",BM89)</f>
        <v>edw_Passenger</v>
      </c>
      <c r="BO89" t="str">
        <f t="shared" si="4"/>
        <v/>
      </c>
      <c r="BP89" t="str">
        <f t="shared" si="5"/>
        <v/>
      </c>
      <c r="BQ89" t="s">
        <v>411</v>
      </c>
      <c r="BR89" t="str">
        <f t="shared" si="6"/>
        <v/>
      </c>
      <c r="BS89" t="str">
        <f t="shared" si="7"/>
        <v>{SILVER}The South Eastern and Chatham Railway H Class is an 0-4-4T tank engine designed for suburban passenger routes. It was in use until the 1960s.</v>
      </c>
    </row>
    <row r="90" spans="1:71" ht="14.25" customHeight="1" x14ac:dyDescent="0.25">
      <c r="A90" t="s">
        <v>20</v>
      </c>
      <c r="B90" t="s">
        <v>421</v>
      </c>
      <c r="C90">
        <v>204</v>
      </c>
      <c r="D90" t="s">
        <v>304</v>
      </c>
      <c r="E90" t="s">
        <v>313</v>
      </c>
      <c r="F90" t="s">
        <v>316</v>
      </c>
      <c r="G90">
        <v>1904</v>
      </c>
      <c r="H90">
        <v>1914</v>
      </c>
      <c r="I90">
        <v>1955</v>
      </c>
      <c r="K90">
        <v>850</v>
      </c>
      <c r="M90" s="6">
        <v>17</v>
      </c>
      <c r="N90" s="6">
        <v>24</v>
      </c>
      <c r="O90" s="6">
        <v>2</v>
      </c>
      <c r="P90" s="6">
        <v>180</v>
      </c>
      <c r="Q90" s="7">
        <f>((($Y90/2)/60)*5280)/($R90*3.2*PI())</f>
        <v>192.57748114119337</v>
      </c>
      <c r="R90" s="6">
        <v>1.25</v>
      </c>
      <c r="S90" s="6">
        <f>((($M90*$M90/4)*PI())*($N90/12)*$O90*$P90*$Q90)/(33000*1.1)</f>
        <v>867</v>
      </c>
      <c r="T90">
        <v>63.4</v>
      </c>
      <c r="W90">
        <v>95</v>
      </c>
      <c r="X90" s="4">
        <f>IF(AND(T90&gt;0,W90&gt;0),(W90/((T90+U90)*10)),"")</f>
        <v>0.14984227129337541</v>
      </c>
      <c r="Y90">
        <v>55</v>
      </c>
      <c r="AA90">
        <v>11.5</v>
      </c>
      <c r="AB90">
        <v>11.5</v>
      </c>
      <c r="AE90" s="11">
        <v>0</v>
      </c>
      <c r="AF90" t="str">
        <f>CONCATENATE(VLOOKUP(AG90, 'Voxel Sizes'!$A$2:$B$18,2,FALSE),"x",INT(AC90*15), "x", INT(AD90*15))</f>
        <v>120x0x0</v>
      </c>
      <c r="AG90">
        <f>ROUND(15*((AB90*10)/256),0)</f>
        <v>7</v>
      </c>
      <c r="AI90" t="str">
        <f>CONCATENATE(VLOOKUP(AG90,Constants!$A$2:$C$16,IF(AH90&lt;&gt;"", 3, 2), FALSE),IF(AH90&lt;&gt;"",CONCATENATE(",",VLOOKUP(AH90,$B:$AI,34,FALSE)),""))</f>
        <v>2,3,2</v>
      </c>
      <c r="AO90">
        <v>1</v>
      </c>
      <c r="AP90">
        <v>48</v>
      </c>
      <c r="AQ90">
        <f>IF(I90&lt;&gt;"",MAX(8,(I90-G90)-4),"")</f>
        <v>47</v>
      </c>
      <c r="AT90">
        <f>MIN(Y90/150, 1)*30</f>
        <v>11</v>
      </c>
      <c r="AU90">
        <f>MIN(K90/4000, 1)*20</f>
        <v>4.25</v>
      </c>
      <c r="AV90">
        <f>MIN(W90/400,1)*20</f>
        <v>4.75</v>
      </c>
      <c r="AW90" s="4">
        <v>1</v>
      </c>
      <c r="AX90">
        <f>((MAX($J90,1)*MIN($AE90/300,1)))*IF(D90="Wagon",50,10)</f>
        <v>0</v>
      </c>
      <c r="AY90">
        <f>VLOOKUP($E90,Constants!$I:$K, 2, FALSE)</f>
        <v>1.1499999999999999</v>
      </c>
      <c r="AZ90">
        <f>VLOOKUP($E90,Constants!$I:$K, 3, FALSE)*IF(AND(D90="multiple_unit",Y90&lt;110),0.75,1)</f>
        <v>1.7</v>
      </c>
      <c r="BA90">
        <f>INT(POWER(((Constants!$G$2+$AT90+$AU90+$AV90+$AX90)*$AW90)*$AZ90, 1.05))+$AS90</f>
        <v>51</v>
      </c>
      <c r="BB90">
        <f>INT(((Constants!$G$1+$AT90+$AU90+$AV90+$AX90)*(1/$AW90))*$AY90)+$AR90</f>
        <v>63</v>
      </c>
      <c r="BL90" t="str">
        <f>VLOOKUP(G90,Eras!$A$2:$C$10, 2, TRUE)</f>
        <v>edw</v>
      </c>
      <c r="BM90" t="s">
        <v>369</v>
      </c>
      <c r="BN90" t="str">
        <f>CONCATENATE(BL90,"_",BM90)</f>
        <v>edw_Mixed Traffic</v>
      </c>
      <c r="BO90" t="str">
        <f t="shared" si="4"/>
        <v/>
      </c>
      <c r="BP90" t="str">
        <f t="shared" si="5"/>
        <v/>
      </c>
      <c r="BQ90" t="s">
        <v>420</v>
      </c>
      <c r="BR90" t="str">
        <f t="shared" si="6"/>
        <v/>
      </c>
      <c r="BS90" t="str">
        <f t="shared" si="7"/>
        <v>{SILVER}The GWR "Small Prairie" tank engines were designed for operating branch lines.</v>
      </c>
    </row>
    <row r="91" spans="1:71" x14ac:dyDescent="0.25">
      <c r="A91" t="s">
        <v>28</v>
      </c>
      <c r="B91" t="s">
        <v>185</v>
      </c>
      <c r="C91">
        <v>206</v>
      </c>
      <c r="D91" t="s">
        <v>304</v>
      </c>
      <c r="E91" t="s">
        <v>313</v>
      </c>
      <c r="F91" t="s">
        <v>316</v>
      </c>
      <c r="G91">
        <v>1911</v>
      </c>
      <c r="H91">
        <v>1926</v>
      </c>
      <c r="I91">
        <v>1960</v>
      </c>
      <c r="K91">
        <v>850</v>
      </c>
      <c r="M91" s="6">
        <v>20</v>
      </c>
      <c r="N91" s="6">
        <v>26</v>
      </c>
      <c r="O91" s="6">
        <v>2</v>
      </c>
      <c r="P91" s="6">
        <v>180</v>
      </c>
      <c r="Q91" s="7">
        <f>((($Y91/2)/60)*5280)/($R91*3.2*PI())</f>
        <v>128.72826279491534</v>
      </c>
      <c r="R91" s="6">
        <v>1.7</v>
      </c>
      <c r="S91" s="6">
        <f>((($M91*$M91/4)*PI())*($N91/12)*$O91*$P91*$Q91)/(33000*1.1)</f>
        <v>868.98395721925135</v>
      </c>
      <c r="T91">
        <v>87</v>
      </c>
      <c r="W91">
        <v>106</v>
      </c>
      <c r="X91" s="4">
        <f>IF(AND(T91&gt;0,W91&gt;0),(W91/((T91+U91)*10)),"")</f>
        <v>0.12183908045977011</v>
      </c>
      <c r="Y91">
        <v>50</v>
      </c>
      <c r="AA91">
        <v>13.1</v>
      </c>
      <c r="AB91">
        <v>13.1</v>
      </c>
      <c r="AE91" s="11">
        <v>0</v>
      </c>
      <c r="AF91" t="str">
        <f>CONCATENATE(VLOOKUP(AG91, 'Voxel Sizes'!$A$2:$B$18,2,FALSE),"x",INT(AC91*15), "x", INT(AD91*15))</f>
        <v>136x0x0</v>
      </c>
      <c r="AG91">
        <f>ROUND(15*((AB91*10)/256),0)</f>
        <v>8</v>
      </c>
      <c r="AI91" t="str">
        <f>CONCATENATE(VLOOKUP(AG91,Constants!$A$2:$C$16,IF(AH91&lt;&gt;"", 3, 2), FALSE),IF(AH91&lt;&gt;"",CONCATENATE(",",VLOOKUP(AH91,$B:$AI,34,FALSE)),""))</f>
        <v>2,4,2</v>
      </c>
      <c r="AO91">
        <v>1</v>
      </c>
      <c r="AP91">
        <v>42</v>
      </c>
      <c r="AQ91">
        <f>IF(I91&lt;&gt;"",MAX(8,(I91-G91)-4),"")</f>
        <v>45</v>
      </c>
      <c r="AT91">
        <f>MIN(Y91/150, 1)*30</f>
        <v>10</v>
      </c>
      <c r="AU91">
        <f>MIN(K91/4000, 1)*20</f>
        <v>4.25</v>
      </c>
      <c r="AV91">
        <f>MIN(W91/400,1)*20</f>
        <v>5.3000000000000007</v>
      </c>
      <c r="AW91" s="4">
        <v>1</v>
      </c>
      <c r="AX91">
        <f>((MAX($J91,1)*MIN($AE91/300,1)))*IF(D91="Wagon",50,10)</f>
        <v>0</v>
      </c>
      <c r="AY91">
        <f>VLOOKUP($E91,Constants!$I:$K, 2, FALSE)</f>
        <v>1.1499999999999999</v>
      </c>
      <c r="AZ91">
        <f>VLOOKUP($E91,Constants!$I:$K, 3, FALSE)*IF(AND(D91="multiple_unit",Y91&lt;110),0.75,1)</f>
        <v>1.7</v>
      </c>
      <c r="BA91">
        <f>INT(POWER(((Constants!$G$2+$AT91+$AU91+$AV91+$AX91)*$AW91)*$AZ91, 1.05))+$AS91</f>
        <v>50</v>
      </c>
      <c r="BB91">
        <f>INT(((Constants!$G$1+$AT91+$AU91+$AV91+$AX91)*(1/$AW91))*$AY91)+$AR91</f>
        <v>62</v>
      </c>
      <c r="BL91" t="str">
        <f>VLOOKUP(G91,Eras!$A$2:$C$10, 2, TRUE)</f>
        <v>edw</v>
      </c>
      <c r="BM91" t="s">
        <v>419</v>
      </c>
      <c r="BN91" t="str">
        <f>CONCATENATE(BL91,"_",BM91)</f>
        <v>edw_Passenger</v>
      </c>
      <c r="BO91" t="str">
        <f t="shared" si="4"/>
        <v/>
      </c>
      <c r="BP91" t="str">
        <f t="shared" si="5"/>
        <v/>
      </c>
      <c r="BQ91" t="s">
        <v>423</v>
      </c>
      <c r="BR91" t="str">
        <f t="shared" si="6"/>
        <v/>
      </c>
      <c r="BS91" t="str">
        <f t="shared" si="7"/>
        <v>{SILVER}The GCR 9N (later LNER A5) is a 4-6-2 tank locomotive designed for suburban passenger services.</v>
      </c>
    </row>
    <row r="92" spans="1:71" x14ac:dyDescent="0.25">
      <c r="A92" t="s">
        <v>29</v>
      </c>
      <c r="B92" t="s">
        <v>427</v>
      </c>
      <c r="C92">
        <v>208</v>
      </c>
      <c r="D92" t="s">
        <v>304</v>
      </c>
      <c r="E92" t="s">
        <v>313</v>
      </c>
      <c r="F92" t="s">
        <v>316</v>
      </c>
      <c r="G92">
        <v>1911</v>
      </c>
      <c r="H92">
        <v>1914</v>
      </c>
      <c r="I92">
        <v>1966</v>
      </c>
      <c r="K92">
        <v>1250</v>
      </c>
      <c r="M92" s="6">
        <v>21</v>
      </c>
      <c r="N92" s="6">
        <v>26</v>
      </c>
      <c r="O92" s="6">
        <v>2</v>
      </c>
      <c r="P92" s="6">
        <v>180</v>
      </c>
      <c r="Q92" s="7">
        <f>((($Y92/2)/60)*5280)/($R92*3.2*PI())</f>
        <v>123.28904042329923</v>
      </c>
      <c r="R92" s="6">
        <v>1.42</v>
      </c>
      <c r="S92" s="6">
        <f>((($M92*$M92/4)*PI())*($N92/12)*$O92*$P92*$Q92)/(33000*1.1)</f>
        <v>917.57362355953899</v>
      </c>
      <c r="T92">
        <v>75</v>
      </c>
      <c r="U92" s="9">
        <v>42</v>
      </c>
      <c r="W92">
        <v>139</v>
      </c>
      <c r="X92" s="4">
        <f>IF(AND(T92&gt;0,W92&gt;0),(W92/((T92+U92)*10)),"")</f>
        <v>0.1188034188034188</v>
      </c>
      <c r="Y92">
        <v>40</v>
      </c>
      <c r="AA92">
        <v>18.809999999999999</v>
      </c>
      <c r="AB92">
        <v>11.31</v>
      </c>
      <c r="AE92" s="11">
        <v>0</v>
      </c>
      <c r="AF92" t="str">
        <f>CONCATENATE(VLOOKUP(AG92, 'Voxel Sizes'!$A$2:$B$18,2,FALSE),"x",INT(AC92*15), "x", INT(AD92*15))</f>
        <v>120x0x0</v>
      </c>
      <c r="AG92">
        <f>ROUND(15*((AB92*10)/256),0)</f>
        <v>7</v>
      </c>
      <c r="AH92" t="s">
        <v>351</v>
      </c>
      <c r="AI92" t="str">
        <f>CONCATENATE(VLOOKUP(AG92,Constants!$A$2:$C$16,IF(AH92&lt;&gt;"", 3, 2), FALSE),IF(AH92&lt;&gt;"",CONCATENATE(",",VLOOKUP(AH92,$B:$AI,34,FALSE)),""))</f>
        <v>2,3,2,2,1,2</v>
      </c>
      <c r="AO92">
        <v>1</v>
      </c>
      <c r="AP92">
        <v>44</v>
      </c>
      <c r="AQ92">
        <f>IF(I92&lt;&gt;"",MAX(8,(I92-G92)-4),"")</f>
        <v>51</v>
      </c>
      <c r="AT92">
        <f>MIN(Y92/150, 1)*30</f>
        <v>8</v>
      </c>
      <c r="AU92">
        <f>MIN(K92/4000, 1)*20</f>
        <v>6.25</v>
      </c>
      <c r="AV92">
        <f>MIN(W92/400,1)*20</f>
        <v>6.9499999999999993</v>
      </c>
      <c r="AW92" s="4">
        <v>1</v>
      </c>
      <c r="AX92">
        <f>((MAX($J92,1)*MIN($AE92/300,1)))*IF(D92="Wagon",50,10)</f>
        <v>0</v>
      </c>
      <c r="AY92">
        <f>VLOOKUP($E92,Constants!$I:$K, 2, FALSE)</f>
        <v>1.1499999999999999</v>
      </c>
      <c r="AZ92">
        <f>VLOOKUP($E92,Constants!$I:$K, 3, FALSE)*IF(AND(D92="multiple_unit",Y92&lt;110),0.75,1)</f>
        <v>1.7</v>
      </c>
      <c r="BA92">
        <f>INT(POWER(((Constants!$G$2+$AT92+$AU92+$AV92+$AX92)*$AW92)*$AZ92, 1.05))+$AS92</f>
        <v>53</v>
      </c>
      <c r="BB92">
        <f>INT(((Constants!$G$1+$AT92+$AU92+$AV92+$AX92)*(1/$AW92))*$AY92)+$AR92</f>
        <v>64</v>
      </c>
      <c r="BL92" t="str">
        <f>VLOOKUP(G92,Eras!$A$2:$C$10, 2, TRUE)</f>
        <v>edw</v>
      </c>
      <c r="BM92" t="s">
        <v>371</v>
      </c>
      <c r="BN92" t="str">
        <f>CONCATENATE(BL92,"_",BM92)</f>
        <v>edw_Freight</v>
      </c>
      <c r="BO92" t="str">
        <f t="shared" si="4"/>
        <v/>
      </c>
      <c r="BP92" t="str">
        <f t="shared" si="5"/>
        <v/>
      </c>
      <c r="BQ92" t="s">
        <v>428</v>
      </c>
      <c r="BR92" t="str">
        <f t="shared" si="6"/>
        <v/>
      </c>
      <c r="BS92" t="str">
        <f t="shared" si="7"/>
        <v>{SILVER}The Robinson 8K is a heavy freight engine that was used as a standard locomotive by the Royal Engineers Railway Operating Division.</v>
      </c>
    </row>
    <row r="93" spans="1:71" x14ac:dyDescent="0.25">
      <c r="A93" t="s">
        <v>434</v>
      </c>
      <c r="B93" t="s">
        <v>439</v>
      </c>
      <c r="C93">
        <v>210</v>
      </c>
      <c r="D93" t="s">
        <v>304</v>
      </c>
      <c r="E93" t="s">
        <v>313</v>
      </c>
      <c r="F93" t="s">
        <v>316</v>
      </c>
      <c r="G93">
        <v>1912</v>
      </c>
      <c r="I93">
        <v>1962</v>
      </c>
      <c r="K93">
        <v>1050</v>
      </c>
      <c r="M93" s="6">
        <v>20</v>
      </c>
      <c r="N93" s="6">
        <v>26</v>
      </c>
      <c r="O93" s="6">
        <v>2</v>
      </c>
      <c r="P93" s="6">
        <v>180</v>
      </c>
      <c r="Q93" s="7">
        <f>((($Y93/2)/60)*5280)/($R93*3.2*PI())</f>
        <v>115.85543651542379</v>
      </c>
      <c r="R93" s="6">
        <v>1.7</v>
      </c>
      <c r="S93" s="6">
        <f>((($M93*$M93/4)*PI())*($N93/12)*$O93*$P93*$Q93)/(33000*1.1)</f>
        <v>782.08556149732613</v>
      </c>
      <c r="T93">
        <v>61</v>
      </c>
      <c r="W93">
        <v>104</v>
      </c>
      <c r="X93" s="4">
        <f>IF(AND(T93&gt;0,W93&gt;0),(W93/((T93+U93)*10)),"")</f>
        <v>0.17049180327868851</v>
      </c>
      <c r="Y93">
        <v>45</v>
      </c>
      <c r="AA93">
        <v>14.4</v>
      </c>
      <c r="AB93">
        <v>10</v>
      </c>
      <c r="AE93" s="11">
        <v>0</v>
      </c>
      <c r="AF93" t="str">
        <f>CONCATENATE(VLOOKUP(AG93, 'Voxel Sizes'!$A$2:$B$18,2,FALSE),"x",INT(AC93*15), "x", INT(AD93*15))</f>
        <v>102x0x0</v>
      </c>
      <c r="AG93">
        <f>ROUND(15*((AB93*10)/256),0)</f>
        <v>6</v>
      </c>
      <c r="AH93" t="s">
        <v>441</v>
      </c>
      <c r="AI93" t="str">
        <f>CONCATENATE(VLOOKUP(AG93,Constants!$A$2:$C$16,IF(AH93&lt;&gt;"", 3, 2), FALSE),IF(AH93&lt;&gt;"",CONCATENATE(",",VLOOKUP(AH93,$B:$AI,34,FALSE)),""))</f>
        <v>2,2,2,2,1,2</v>
      </c>
      <c r="AO93">
        <v>1</v>
      </c>
      <c r="AP93">
        <v>40</v>
      </c>
      <c r="AQ93">
        <f>IF(I93&lt;&gt;"",MAX(8,(I93-G93)-4),"")</f>
        <v>46</v>
      </c>
      <c r="AT93">
        <f>MIN(Y93/150, 1)*30</f>
        <v>9</v>
      </c>
      <c r="AU93">
        <f>MIN(K93/4000, 1)*20</f>
        <v>5.25</v>
      </c>
      <c r="AV93">
        <f>MIN(W93/400,1)*20</f>
        <v>5.2</v>
      </c>
      <c r="AW93" s="4">
        <v>1</v>
      </c>
      <c r="AX93">
        <f>((MAX($J93,1)*MIN($AE93/300,1)))*IF(D93="Wagon",50,10)</f>
        <v>0</v>
      </c>
      <c r="AY93">
        <f>VLOOKUP($E93,Constants!$I:$K, 2, FALSE)</f>
        <v>1.1499999999999999</v>
      </c>
      <c r="AZ93">
        <f>VLOOKUP($E93,Constants!$I:$K, 3, FALSE)*IF(AND(D93="multiple_unit",Y93&lt;110),0.75,1)</f>
        <v>1.7</v>
      </c>
      <c r="BA93">
        <f>INT(POWER(((Constants!$G$2+$AT93+$AU93+$AV93+$AX93)*$AW93)*$AZ93, 1.05))+$AS93</f>
        <v>50</v>
      </c>
      <c r="BB93">
        <f>INT(((Constants!$G$1+$AT93+$AU93+$AV93+$AX93)*(1/$AW93))*$AY93)+$AR93</f>
        <v>62</v>
      </c>
      <c r="BL93" t="str">
        <f>VLOOKUP(G93,Eras!$A$2:$C$10, 2, TRUE)</f>
        <v>edw</v>
      </c>
      <c r="BM93" t="s">
        <v>371</v>
      </c>
      <c r="BN93" t="str">
        <f>CONCATENATE(BL93,"_",BM93)</f>
        <v>edw_Freight</v>
      </c>
      <c r="BO93" t="str">
        <f t="shared" si="4"/>
        <v/>
      </c>
      <c r="BP93" t="str">
        <f t="shared" si="5"/>
        <v/>
      </c>
      <c r="BQ93" t="s">
        <v>433</v>
      </c>
      <c r="BR93" t="str">
        <f t="shared" si="6"/>
        <v/>
      </c>
      <c r="BS93" t="str">
        <f t="shared" si="7"/>
        <v>{SILVER}The Gresley K2 is a freight engine, designed for the GNR which had been using passenger engines to haul goods trains.</v>
      </c>
    </row>
    <row r="94" spans="1:71" x14ac:dyDescent="0.25">
      <c r="A94" t="s">
        <v>67</v>
      </c>
      <c r="B94" t="s">
        <v>186</v>
      </c>
      <c r="C94">
        <v>212</v>
      </c>
      <c r="D94" t="s">
        <v>304</v>
      </c>
      <c r="E94" t="s">
        <v>338</v>
      </c>
      <c r="F94" t="s">
        <v>316</v>
      </c>
      <c r="G94">
        <v>1914</v>
      </c>
      <c r="H94">
        <v>1919</v>
      </c>
      <c r="I94">
        <v>1950</v>
      </c>
      <c r="K94">
        <v>1100</v>
      </c>
      <c r="T94">
        <v>76</v>
      </c>
      <c r="W94">
        <v>140</v>
      </c>
      <c r="X94" s="4">
        <f>IF(AND(T94&gt;0,W94&gt;0),(W94/((T94+U94)*10)),"")</f>
        <v>0.18421052631578946</v>
      </c>
      <c r="Y94">
        <v>35</v>
      </c>
      <c r="AA94">
        <v>12</v>
      </c>
      <c r="AB94">
        <v>12</v>
      </c>
      <c r="AE94" s="11">
        <v>0</v>
      </c>
      <c r="AF94" t="str">
        <f>CONCATENATE(VLOOKUP(AG94, 'Voxel Sizes'!$A$2:$B$18,2,FALSE),"x",INT(AC94*15), "x", INT(AD94*15))</f>
        <v>120x0x0</v>
      </c>
      <c r="AG94">
        <f>ROUND(15*((AB94*10)/256),0)</f>
        <v>7</v>
      </c>
      <c r="AI94" t="str">
        <f>CONCATENATE(VLOOKUP(AG94,Constants!$A$2:$C$16,IF(AH94&lt;&gt;"", 3, 2), FALSE),IF(AH94&lt;&gt;"",CONCATENATE(",",VLOOKUP(AH94,$B:$AI,34,FALSE)),""))</f>
        <v>2,3,2</v>
      </c>
      <c r="AP94">
        <v>26</v>
      </c>
      <c r="AQ94">
        <f>IF(I94&lt;&gt;"",MAX(8,(I94-G94)-4),"")</f>
        <v>32</v>
      </c>
      <c r="AT94">
        <f>MIN(Y94/150, 1)*30</f>
        <v>7</v>
      </c>
      <c r="AU94">
        <f>MIN(K94/4000, 1)*20</f>
        <v>5.5</v>
      </c>
      <c r="AV94">
        <f>MIN(W94/400,1)*20</f>
        <v>7</v>
      </c>
      <c r="AW94" s="4">
        <v>1</v>
      </c>
      <c r="AX94">
        <f>((MAX($J94,1)*MIN($AE94/300,1)))*IF(D94="Wagon",50,10)</f>
        <v>0</v>
      </c>
      <c r="AY94">
        <f>VLOOKUP($E94,Constants!$I:$K, 2, FALSE)</f>
        <v>0.85</v>
      </c>
      <c r="AZ94">
        <f>VLOOKUP($E94,Constants!$I:$K, 3, FALSE)*IF(AND(D94="multiple_unit",Y94&lt;110),0.75,1)</f>
        <v>2.2999999999999998</v>
      </c>
      <c r="BA94">
        <f>INT(POWER(((Constants!$G$2+$AT94+$AU94+$AV94+$AX94)*$AW94)*$AZ94, 1.05))+$AS94</f>
        <v>68</v>
      </c>
      <c r="BB94">
        <f>INT(((Constants!$G$1+$AT94+$AU94+$AV94+$AX94)*(1/$AW94))*$AY94)+$AR94</f>
        <v>46</v>
      </c>
      <c r="BL94" t="str">
        <f>VLOOKUP(G94,Eras!$A$2:$C$10, 2, TRUE)</f>
        <v>edw</v>
      </c>
      <c r="BM94" t="s">
        <v>381</v>
      </c>
      <c r="BN94" t="str">
        <f>CONCATENATE(BL94,"_",BM94)</f>
        <v>edw_Freight (Electric)</v>
      </c>
      <c r="BO94" t="str">
        <f t="shared" si="4"/>
        <v/>
      </c>
      <c r="BP94" t="str">
        <f t="shared" si="5"/>
        <v/>
      </c>
      <c r="BQ94" t="s">
        <v>442</v>
      </c>
      <c r="BR94" t="str">
        <f t="shared" si="6"/>
        <v/>
      </c>
      <c r="BS94" t="str">
        <f t="shared" si="7"/>
        <v>{SILVER}The LNER EF1 is an early electric freight engine designed for hauling heavy coal trains.</v>
      </c>
    </row>
    <row r="95" spans="1:71" x14ac:dyDescent="0.25">
      <c r="A95" t="s">
        <v>38</v>
      </c>
      <c r="B95" t="s">
        <v>187</v>
      </c>
      <c r="C95">
        <v>213</v>
      </c>
      <c r="D95" t="s">
        <v>169</v>
      </c>
      <c r="E95" t="s">
        <v>313</v>
      </c>
      <c r="F95" t="s">
        <v>316</v>
      </c>
      <c r="G95">
        <v>1921</v>
      </c>
      <c r="H95">
        <v>1922</v>
      </c>
      <c r="T95">
        <v>63</v>
      </c>
      <c r="U95" s="9">
        <v>41</v>
      </c>
      <c r="W95">
        <v>125</v>
      </c>
      <c r="X95" s="4">
        <f>IF(AND(T95&gt;0,W95&gt;0),(W95/((T95+U95)*10)),"")</f>
        <v>0.1201923076923077</v>
      </c>
      <c r="AE95" s="11">
        <v>0</v>
      </c>
      <c r="AF95" t="str">
        <f>CONCATENATE(VLOOKUP(AG95, 'Voxel Sizes'!$A$2:$B$18,2,FALSE),"x",INT(AC95*15), "x", INT(AD95*15))</f>
        <v>0x0x0</v>
      </c>
      <c r="AG95">
        <f>ROUND(15*((AB95*10)/256),0)</f>
        <v>0</v>
      </c>
      <c r="AI95" t="str">
        <f>CONCATENATE(VLOOKUP(AG95,Constants!$A$2:$C$16,IF(AH95&lt;&gt;"", 3, 2), FALSE),IF(AH95&lt;&gt;"",CONCATENATE(",",VLOOKUP(AH95,$B:$AI,34,FALSE)),""))</f>
        <v>na</v>
      </c>
      <c r="AP95">
        <v>40</v>
      </c>
      <c r="AQ95" t="str">
        <f>IF(I95&lt;&gt;"",MAX(8,(I95-G95)-4),"")</f>
        <v/>
      </c>
      <c r="AT95">
        <f>MIN(Y95/150, 1)*30</f>
        <v>0</v>
      </c>
      <c r="AU95">
        <f>MIN(K95/4000, 1)*20</f>
        <v>0</v>
      </c>
      <c r="AV95">
        <f>MIN(W95/400,1)*20</f>
        <v>6.25</v>
      </c>
      <c r="AW95" s="4">
        <v>1</v>
      </c>
      <c r="AX95">
        <f>((MAX($J95,1)*MIN($AE95/300,1)))*IF(D95="Wagon",50,10)</f>
        <v>0</v>
      </c>
      <c r="AY95">
        <f>VLOOKUP($E95,Constants!$I:$K, 2, FALSE)</f>
        <v>1.1499999999999999</v>
      </c>
      <c r="AZ95">
        <f>VLOOKUP($E95,Constants!$I:$K, 3, FALSE)*IF(AND(D95="multiple_unit",Y95&lt;110),0.75,1)</f>
        <v>1.7</v>
      </c>
      <c r="BA95">
        <f>INT(POWER(((Constants!$G$2+$AT95+$AU95+$AV95+$AX95)*$AW95)*$AZ95, 1.05))+$AS95</f>
        <v>22</v>
      </c>
      <c r="BB95">
        <f>INT(((Constants!$G$1+$AT95+$AU95+$AV95+$AX95)*(1/$AW95))*$AY95)+$AR95</f>
        <v>47</v>
      </c>
      <c r="BL95" t="str">
        <f>VLOOKUP(G95,Eras!$A$2:$C$10, 2, TRUE)</f>
        <v>edw</v>
      </c>
      <c r="BN95" t="str">
        <f>CONCATENATE(BL95,"_",BM95)</f>
        <v>edw_</v>
      </c>
      <c r="BO95" t="str">
        <f t="shared" si="4"/>
        <v/>
      </c>
      <c r="BP95" t="str">
        <f t="shared" si="5"/>
        <v/>
      </c>
      <c r="BR95" t="str">
        <f t="shared" si="6"/>
        <v/>
      </c>
      <c r="BS95" t="str">
        <f t="shared" si="7"/>
        <v>{SILVER}</v>
      </c>
    </row>
    <row r="96" spans="1:71" x14ac:dyDescent="0.25">
      <c r="A96" t="s">
        <v>24</v>
      </c>
      <c r="B96" t="s">
        <v>188</v>
      </c>
      <c r="C96">
        <v>213</v>
      </c>
      <c r="D96" t="s">
        <v>169</v>
      </c>
      <c r="E96" t="s">
        <v>313</v>
      </c>
      <c r="F96" t="s">
        <v>316</v>
      </c>
      <c r="G96">
        <v>1922</v>
      </c>
      <c r="H96">
        <v>1924</v>
      </c>
      <c r="W96">
        <v>119</v>
      </c>
      <c r="X96" s="4" t="str">
        <f>IF(AND(T96&gt;0,W96&gt;0),(W96/((T96+U96)*10)),"")</f>
        <v/>
      </c>
      <c r="AE96" s="11">
        <v>0</v>
      </c>
      <c r="AF96" t="str">
        <f>CONCATENATE(VLOOKUP(AG96, 'Voxel Sizes'!$A$2:$B$18,2,FALSE),"x",INT(AC96*15), "x", INT(AD96*15))</f>
        <v>0x0x0</v>
      </c>
      <c r="AG96">
        <f>ROUND(15*((AB96*10)/256),0)</f>
        <v>0</v>
      </c>
      <c r="AI96" t="str">
        <f>CONCATENATE(VLOOKUP(AG96,Constants!$A$2:$C$16,IF(AH96&lt;&gt;"", 3, 2), FALSE),IF(AH96&lt;&gt;"",CONCATENATE(",",VLOOKUP(AH96,$B:$AI,34,FALSE)),""))</f>
        <v>na</v>
      </c>
      <c r="AP96">
        <v>40</v>
      </c>
      <c r="AQ96" t="str">
        <f>IF(I96&lt;&gt;"",MAX(8,(I96-G96)-4),"")</f>
        <v/>
      </c>
      <c r="AT96">
        <f>MIN(Y96/150, 1)*30</f>
        <v>0</v>
      </c>
      <c r="AU96">
        <f>MIN(K96/4000, 1)*20</f>
        <v>0</v>
      </c>
      <c r="AV96">
        <f>MIN(W96/400,1)*20</f>
        <v>5.9499999999999993</v>
      </c>
      <c r="AW96" s="4">
        <v>1</v>
      </c>
      <c r="AX96">
        <f>((MAX($J96,1)*MIN($AE96/300,1)))*IF(D96="Wagon",50,10)</f>
        <v>0</v>
      </c>
      <c r="AY96">
        <f>VLOOKUP($E96,Constants!$I:$K, 2, FALSE)</f>
        <v>1.1499999999999999</v>
      </c>
      <c r="AZ96">
        <f>VLOOKUP($E96,Constants!$I:$K, 3, FALSE)*IF(AND(D96="multiple_unit",Y96&lt;110),0.75,1)</f>
        <v>1.7</v>
      </c>
      <c r="BA96">
        <f>INT(POWER(((Constants!$G$2+$AT96+$AU96+$AV96+$AX96)*$AW96)*$AZ96, 1.05))+$AS96</f>
        <v>21</v>
      </c>
      <c r="BB96">
        <f>INT(((Constants!$G$1+$AT96+$AU96+$AV96+$AX96)*(1/$AW96))*$AY96)+$AR96</f>
        <v>47</v>
      </c>
      <c r="BL96" t="str">
        <f>VLOOKUP(G96,Eras!$A$2:$C$10, 2, TRUE)</f>
        <v>edw</v>
      </c>
      <c r="BN96" t="str">
        <f>CONCATENATE(BL96,"_",BM96)</f>
        <v>edw_</v>
      </c>
      <c r="BO96" t="str">
        <f t="shared" si="4"/>
        <v/>
      </c>
      <c r="BP96" t="str">
        <f t="shared" si="5"/>
        <v/>
      </c>
      <c r="BR96" t="str">
        <f t="shared" si="6"/>
        <v/>
      </c>
      <c r="BS96" t="str">
        <f t="shared" si="7"/>
        <v>{SILVER}</v>
      </c>
    </row>
    <row r="97" spans="1:71" x14ac:dyDescent="0.25">
      <c r="A97" t="s">
        <v>11</v>
      </c>
      <c r="B97" t="s">
        <v>189</v>
      </c>
      <c r="C97">
        <v>214</v>
      </c>
      <c r="D97" t="s">
        <v>304</v>
      </c>
      <c r="E97" t="s">
        <v>313</v>
      </c>
      <c r="F97" t="s">
        <v>316</v>
      </c>
      <c r="G97">
        <v>1923</v>
      </c>
      <c r="I97">
        <v>1966</v>
      </c>
      <c r="K97">
        <v>950</v>
      </c>
      <c r="M97" s="6">
        <v>20</v>
      </c>
      <c r="N97" s="6">
        <v>26</v>
      </c>
      <c r="O97" s="6">
        <v>2</v>
      </c>
      <c r="P97" s="6">
        <v>175</v>
      </c>
      <c r="Q97" s="7">
        <f>((($Y97/2)/60)*5280)/($R97*3.2*PI())</f>
        <v>150.4511571415573</v>
      </c>
      <c r="R97" s="6">
        <v>1.6</v>
      </c>
      <c r="S97" s="6">
        <f>((($M97*$M97/4)*PI())*($N97/12)*$O97*$P97*$Q97)/(33000*1.1)</f>
        <v>987.41319444444446</v>
      </c>
      <c r="T97">
        <f>49.5+41.8</f>
        <v>91.3</v>
      </c>
      <c r="W97">
        <v>109</v>
      </c>
      <c r="X97" s="4">
        <f>IF(AND(T97&gt;0,W97&gt;0),(W97/((T97+U97)*10)),"")</f>
        <v>0.11938663745892661</v>
      </c>
      <c r="Y97">
        <v>55</v>
      </c>
      <c r="AA97">
        <v>15.8</v>
      </c>
      <c r="AB97">
        <v>10</v>
      </c>
      <c r="AE97" s="11">
        <v>0</v>
      </c>
      <c r="AF97" t="str">
        <f>CONCATENATE(VLOOKUP(AG97, 'Voxel Sizes'!$A$2:$B$18,2,FALSE),"x",INT(AC97*15), "x", INT(AD97*15))</f>
        <v>102x0x0</v>
      </c>
      <c r="AG97">
        <f>ROUND(15*((AB97*10)/256),0)</f>
        <v>6</v>
      </c>
      <c r="AH97" t="s">
        <v>351</v>
      </c>
      <c r="AI97" t="str">
        <f>CONCATENATE(VLOOKUP(AG97,Constants!$A$2:$C$16,IF(AH97&lt;&gt;"", 3, 2), FALSE),IF(AH97&lt;&gt;"",CONCATENATE(",",VLOOKUP(AH97,$B:$AI,34,FALSE)),""))</f>
        <v>2,2,2,2,1,2</v>
      </c>
      <c r="AO97">
        <v>1</v>
      </c>
      <c r="AP97">
        <v>46</v>
      </c>
      <c r="AQ97">
        <f>IF(I97&lt;&gt;"",MAX(8,(I97-G97)-4),"")</f>
        <v>39</v>
      </c>
      <c r="AT97">
        <f>MIN(Y97/150, 1)*30</f>
        <v>11</v>
      </c>
      <c r="AU97">
        <f>MIN(K97/4000, 1)*20</f>
        <v>4.75</v>
      </c>
      <c r="AV97">
        <f>MIN(W97/400,1)*20</f>
        <v>5.45</v>
      </c>
      <c r="AW97" s="4">
        <v>1</v>
      </c>
      <c r="AX97">
        <f>((MAX($J97,1)*MIN($AE97/300,1)))*IF(D97="Wagon",50,10)</f>
        <v>0</v>
      </c>
      <c r="AY97">
        <f>VLOOKUP($E97,Constants!$I:$K, 2, FALSE)</f>
        <v>1.1499999999999999</v>
      </c>
      <c r="AZ97">
        <f>VLOOKUP($E97,Constants!$I:$K, 3, FALSE)*IF(AND(D97="multiple_unit",Y97&lt;110),0.75,1)</f>
        <v>1.7</v>
      </c>
      <c r="BA97">
        <f>INT(POWER(((Constants!$G$2+$AT97+$AU97+$AV97+$AX97)*$AW97)*$AZ97, 1.05))+$AS97</f>
        <v>53</v>
      </c>
      <c r="BB97">
        <f>INT(((Constants!$G$1+$AT97+$AU97+$AV97+$AX97)*(1/$AW97))*$AY97)+$AR97</f>
        <v>64</v>
      </c>
      <c r="BL97" t="str">
        <f>VLOOKUP(G97,Eras!$A$2:$C$10, 2, TRUE)</f>
        <v>big4</v>
      </c>
      <c r="BM97" t="s">
        <v>369</v>
      </c>
      <c r="BN97" t="str">
        <f>CONCATENATE(BL97,"_",BM97)</f>
        <v>big4_Mixed Traffic</v>
      </c>
      <c r="BO97" t="str">
        <f t="shared" si="4"/>
        <v/>
      </c>
      <c r="BP97" t="str">
        <f t="shared" si="5"/>
        <v/>
      </c>
      <c r="BQ97" t="s">
        <v>468</v>
      </c>
      <c r="BR97" t="str">
        <f t="shared" si="6"/>
        <v/>
      </c>
      <c r="BS97" t="str">
        <f t="shared" si="7"/>
        <v>{SILVER}The Fowler 4F is a development of the earlier Midland 3835 class.</v>
      </c>
    </row>
    <row r="98" spans="1:71" x14ac:dyDescent="0.25">
      <c r="A98" t="s">
        <v>469</v>
      </c>
      <c r="B98" t="s">
        <v>470</v>
      </c>
      <c r="C98">
        <v>216</v>
      </c>
      <c r="D98" t="s">
        <v>304</v>
      </c>
      <c r="E98" t="s">
        <v>313</v>
      </c>
      <c r="F98" t="s">
        <v>316</v>
      </c>
      <c r="G98">
        <v>1923</v>
      </c>
      <c r="H98">
        <v>1950</v>
      </c>
      <c r="I98">
        <v>1950</v>
      </c>
      <c r="K98">
        <v>1900</v>
      </c>
      <c r="M98" s="6">
        <v>16</v>
      </c>
      <c r="N98" s="6">
        <v>26</v>
      </c>
      <c r="O98" s="6">
        <v>4</v>
      </c>
      <c r="P98" s="6">
        <v>225</v>
      </c>
      <c r="Q98" s="7">
        <f>((($Y98/2)/60)*5280)/($R98*3.2*PI())</f>
        <v>223.21480768638321</v>
      </c>
      <c r="R98" s="6">
        <v>2</v>
      </c>
      <c r="S98" s="6">
        <f>((($M98*$M98/4)*PI())*($N98/12)*$O98*$P98*$Q98)/(33000*1.1)</f>
        <v>2410.9090909090905</v>
      </c>
      <c r="T98">
        <v>81.099999999999994</v>
      </c>
      <c r="U98" s="9">
        <v>48</v>
      </c>
      <c r="W98">
        <v>141</v>
      </c>
      <c r="X98" s="4">
        <f>IF(AND(T98&gt;0,W98&gt;0),(W98/((T98+U98)*10)),"")</f>
        <v>0.10921766072811774</v>
      </c>
      <c r="Y98">
        <v>102</v>
      </c>
      <c r="Z98">
        <v>1</v>
      </c>
      <c r="AA98">
        <v>19.86</v>
      </c>
      <c r="AB98">
        <f>AA98-7.64</f>
        <v>12.219999999999999</v>
      </c>
      <c r="AD98">
        <v>4.07</v>
      </c>
      <c r="AE98" s="11">
        <v>0</v>
      </c>
      <c r="AF98" t="str">
        <f>CONCATENATE(VLOOKUP(AG98, 'Voxel Sizes'!$A$2:$B$18,2,FALSE),"x",INT(AC98*15), "x", INT(AD98*15))</f>
        <v>120x0x61</v>
      </c>
      <c r="AG98">
        <f>ROUND(15*((AB98*10)/256),0)</f>
        <v>7</v>
      </c>
      <c r="AH98" t="s">
        <v>472</v>
      </c>
      <c r="AI98" t="str">
        <f>CONCATENATE(VLOOKUP(AG98,Constants!$A$2:$C$16,IF(AH98&lt;&gt;"", 3, 2), FALSE),IF(AH98&lt;&gt;"",CONCATENATE(",",VLOOKUP(AH98,$B:$AI,34,FALSE)),""))</f>
        <v>2,3,2,2,1,2</v>
      </c>
      <c r="AO98">
        <v>1</v>
      </c>
      <c r="AP98">
        <v>40</v>
      </c>
      <c r="AQ98">
        <f>IF(I98&lt;&gt;"",MAX(8,(I98-G98)-4),"")</f>
        <v>23</v>
      </c>
      <c r="AT98">
        <f>MIN(Y98/150, 1)*30</f>
        <v>20.400000000000002</v>
      </c>
      <c r="AU98">
        <f>MIN(K98/4000, 1)*20</f>
        <v>9.5</v>
      </c>
      <c r="AV98">
        <f>MIN(W98/400,1)*20</f>
        <v>7.05</v>
      </c>
      <c r="AW98" s="4">
        <v>1</v>
      </c>
      <c r="AX98">
        <f>((MAX($J98,1)*MIN($AE98/300,1)))*IF(D98="Wagon",50,10)</f>
        <v>0</v>
      </c>
      <c r="AY98">
        <f>VLOOKUP($E98,Constants!$I:$K, 2, FALSE)</f>
        <v>1.1499999999999999</v>
      </c>
      <c r="AZ98">
        <f>VLOOKUP($E98,Constants!$I:$K, 3, FALSE)*IF(AND(D98="multiple_unit",Y98&lt;110),0.75,1)</f>
        <v>1.7</v>
      </c>
      <c r="BA98">
        <f>INT(POWER(((Constants!$G$2+$AT98+$AU98+$AV98+$AX98)*$AW98)*$AZ98, 1.05))+$AS98</f>
        <v>88</v>
      </c>
      <c r="BB98">
        <f>INT(((Constants!$G$1+$AT98+$AU98+$AV98+$AX98)*(1/$AW98))*$AY98)+$AR98</f>
        <v>82</v>
      </c>
      <c r="BL98" t="str">
        <f>VLOOKUP(G98,Eras!$A$2:$C$10, 2, TRUE)</f>
        <v>big4</v>
      </c>
      <c r="BM98" t="s">
        <v>370</v>
      </c>
      <c r="BN98" t="str">
        <f>CONCATENATE(BL98,"_",BM98)</f>
        <v>big4_Express</v>
      </c>
      <c r="BO98" t="str">
        <f t="shared" si="4"/>
        <v/>
      </c>
      <c r="BP98" t="str">
        <f t="shared" si="5"/>
        <v/>
      </c>
      <c r="BQ98" t="s">
        <v>473</v>
      </c>
      <c r="BR98" t="str">
        <f t="shared" si="6"/>
        <v/>
      </c>
      <c r="BS98" t="str">
        <f t="shared" si="7"/>
        <v>{SILVER}The Castle Class is a large, powerful express locomotive designed by GWR Chief Mechanical Engineer Charles Collett</v>
      </c>
    </row>
    <row r="99" spans="1:71" x14ac:dyDescent="0.25">
      <c r="A99" t="s">
        <v>10</v>
      </c>
      <c r="B99" t="s">
        <v>190</v>
      </c>
      <c r="C99">
        <v>218</v>
      </c>
      <c r="D99" t="s">
        <v>304</v>
      </c>
      <c r="E99" t="s">
        <v>313</v>
      </c>
      <c r="F99" t="s">
        <v>316</v>
      </c>
      <c r="G99">
        <v>1924</v>
      </c>
      <c r="I99">
        <v>1967</v>
      </c>
      <c r="K99">
        <v>650</v>
      </c>
      <c r="M99" s="6">
        <v>18</v>
      </c>
      <c r="N99" s="6">
        <v>26</v>
      </c>
      <c r="O99" s="6">
        <v>2</v>
      </c>
      <c r="P99" s="6">
        <v>160</v>
      </c>
      <c r="Q99" s="7">
        <f>((($Y99/2)/60)*5280)/($R99*3.2*PI())</f>
        <v>140.68160148301465</v>
      </c>
      <c r="R99" s="6">
        <v>1.4</v>
      </c>
      <c r="S99" s="6">
        <f>((($M99*$M99/4)*PI())*($N99/12)*$O99*$P99*$Q99)/(33000*1.1)</f>
        <v>683.76623376623365</v>
      </c>
      <c r="T99">
        <v>50.2</v>
      </c>
      <c r="W99">
        <v>93</v>
      </c>
      <c r="X99" s="4">
        <f>IF(AND(T99&gt;0,W99&gt;0),(W99/((T99+U99)*10)),"")</f>
        <v>0.1852589641434263</v>
      </c>
      <c r="Y99">
        <v>45</v>
      </c>
      <c r="AA99">
        <v>9.57</v>
      </c>
      <c r="AB99">
        <v>9.57</v>
      </c>
      <c r="AE99" s="11">
        <v>0</v>
      </c>
      <c r="AF99" t="str">
        <f>CONCATENATE(VLOOKUP(AG99, 'Voxel Sizes'!$A$2:$B$18,2,FALSE),"x",INT(AC99*15), "x", INT(AD99*15))</f>
        <v>102x0x0</v>
      </c>
      <c r="AG99">
        <f>ROUND(15*((AB99*10)/256),0)</f>
        <v>6</v>
      </c>
      <c r="AI99" t="str">
        <f>CONCATENATE(VLOOKUP(AG99,Constants!$A$2:$C$16,IF(AH99&lt;&gt;"", 3, 2), FALSE),IF(AH99&lt;&gt;"",CONCATENATE(",",VLOOKUP(AH99,$B:$AI,34,FALSE)),""))</f>
        <v>2,2,2</v>
      </c>
      <c r="AO99">
        <v>1</v>
      </c>
      <c r="AP99">
        <v>58</v>
      </c>
      <c r="AQ99">
        <f>IF(I99&lt;&gt;"",MAX(8,(I99-G99)-4),"")</f>
        <v>39</v>
      </c>
      <c r="AT99">
        <f>MIN(Y99/150, 1)*30</f>
        <v>9</v>
      </c>
      <c r="AU99">
        <f>MIN(K99/4000, 1)*20</f>
        <v>3.25</v>
      </c>
      <c r="AV99">
        <f>MIN(W99/400,1)*20</f>
        <v>4.6500000000000004</v>
      </c>
      <c r="AW99" s="4">
        <v>1</v>
      </c>
      <c r="AX99">
        <f>((MAX($J99,1)*MIN($AE99/300,1)))*IF(D99="Wagon",50,10)</f>
        <v>0</v>
      </c>
      <c r="AY99">
        <f>VLOOKUP($E99,Constants!$I:$K, 2, FALSE)</f>
        <v>1.1499999999999999</v>
      </c>
      <c r="AZ99">
        <f>VLOOKUP($E99,Constants!$I:$K, 3, FALSE)*IF(AND(D99="multiple_unit",Y99&lt;110),0.75,1)</f>
        <v>1.7</v>
      </c>
      <c r="BA99">
        <f>INT(POWER(((Constants!$G$2+$AT99+$AU99+$AV99+$AX99)*$AW99)*$AZ99, 1.05))+$AS99</f>
        <v>44</v>
      </c>
      <c r="BB99">
        <f>INT(((Constants!$G$1+$AT99+$AU99+$AV99+$AX99)*(1/$AW99))*$AY99)+$AR99</f>
        <v>59</v>
      </c>
      <c r="BL99" t="str">
        <f>VLOOKUP(G99,Eras!$A$2:$C$10, 2, TRUE)</f>
        <v>big4</v>
      </c>
      <c r="BM99" t="s">
        <v>368</v>
      </c>
      <c r="BN99" t="str">
        <f>CONCATENATE(BL99,"_",BM99)</f>
        <v>big4_Cheap</v>
      </c>
      <c r="BO99" t="str">
        <f t="shared" si="4"/>
        <v/>
      </c>
      <c r="BP99" t="str">
        <f t="shared" si="5"/>
        <v/>
      </c>
      <c r="BQ99" t="s">
        <v>393</v>
      </c>
      <c r="BR99" t="str">
        <f t="shared" si="6"/>
        <v/>
      </c>
      <c r="BS99" t="str">
        <f t="shared" si="7"/>
        <v>{SILVER}The Jinty is a popular tank engine that was built in large quantities. Although small and low powered it is reliable and cheap to run. Jinties were sometimes run in pairs (or more) for working on steep inclines.</v>
      </c>
    </row>
    <row r="100" spans="1:71" x14ac:dyDescent="0.25">
      <c r="A100" t="s">
        <v>21</v>
      </c>
      <c r="B100" t="s">
        <v>191</v>
      </c>
      <c r="C100">
        <v>220</v>
      </c>
      <c r="D100" t="s">
        <v>304</v>
      </c>
      <c r="E100" t="s">
        <v>313</v>
      </c>
      <c r="F100" t="s">
        <v>316</v>
      </c>
      <c r="G100">
        <v>1924</v>
      </c>
      <c r="H100">
        <v>1928</v>
      </c>
      <c r="I100">
        <v>1965</v>
      </c>
      <c r="K100">
        <v>900</v>
      </c>
      <c r="T100">
        <v>62</v>
      </c>
      <c r="W100">
        <v>115</v>
      </c>
      <c r="X100" s="4">
        <f>IF(AND(T100&gt;0,W100&gt;0),(W100/((T100+U100)*10)),"")</f>
        <v>0.18548387096774194</v>
      </c>
      <c r="Y100">
        <v>50</v>
      </c>
      <c r="AA100">
        <v>11.43</v>
      </c>
      <c r="AB100">
        <v>11.43</v>
      </c>
      <c r="AE100" s="11">
        <v>0</v>
      </c>
      <c r="AF100" t="str">
        <f>CONCATENATE(VLOOKUP(AG100, 'Voxel Sizes'!$A$2:$B$18,2,FALSE),"x",INT(AC100*15), "x", INT(AD100*15))</f>
        <v>120x0x0</v>
      </c>
      <c r="AG100">
        <f>ROUND(15*((AB100*10)/256),0)</f>
        <v>7</v>
      </c>
      <c r="AI100" t="str">
        <f>CONCATENATE(VLOOKUP(AG100,Constants!$A$2:$C$16,IF(AH100&lt;&gt;"", 3, 2), FALSE),IF(AH100&lt;&gt;"",CONCATENATE(",",VLOOKUP(AH100,$B:$AI,34,FALSE)),""))</f>
        <v>2,3,2</v>
      </c>
      <c r="AO100">
        <v>1</v>
      </c>
      <c r="AP100">
        <v>43</v>
      </c>
      <c r="AQ100">
        <f>IF(I100&lt;&gt;"",MAX(8,(I100-G100)-4),"")</f>
        <v>37</v>
      </c>
      <c r="AT100">
        <f>MIN(Y100/150, 1)*30</f>
        <v>10</v>
      </c>
      <c r="AU100">
        <f>MIN(K100/4000, 1)*20</f>
        <v>4.5</v>
      </c>
      <c r="AV100">
        <f>MIN(W100/400,1)*20</f>
        <v>5.75</v>
      </c>
      <c r="AW100" s="4">
        <v>1</v>
      </c>
      <c r="AX100">
        <f>((MAX($J100,1)*MIN($AE100/300,1)))*IF(D100="Wagon",50,10)</f>
        <v>0</v>
      </c>
      <c r="AY100">
        <f>VLOOKUP($E100,Constants!$I:$K, 2, FALSE)</f>
        <v>1.1499999999999999</v>
      </c>
      <c r="AZ100">
        <f>VLOOKUP($E100,Constants!$I:$K, 3, FALSE)*IF(AND(D100="multiple_unit",Y100&lt;110),0.75,1)</f>
        <v>1.7</v>
      </c>
      <c r="BA100">
        <f>INT(POWER(((Constants!$G$2+$AT100+$AU100+$AV100+$AX100)*$AW100)*$AZ100, 1.05))+$AS100</f>
        <v>51</v>
      </c>
      <c r="BB100">
        <f>INT(((Constants!$G$1+$AT100+$AU100+$AV100+$AX100)*(1/$AW100))*$AY100)+$AR100</f>
        <v>63</v>
      </c>
      <c r="BL100" t="str">
        <f>VLOOKUP(G100,Eras!$A$2:$C$10, 2, TRUE)</f>
        <v>big4</v>
      </c>
      <c r="BM100" t="s">
        <v>369</v>
      </c>
      <c r="BN100" t="str">
        <f>CONCATENATE(BL100,"_",BM100)</f>
        <v>big4_Mixed Traffic</v>
      </c>
      <c r="BO100" t="str">
        <f t="shared" si="4"/>
        <v/>
      </c>
      <c r="BP100" t="str">
        <f t="shared" si="5"/>
        <v/>
      </c>
      <c r="BQ100" t="s">
        <v>394</v>
      </c>
      <c r="BR100" t="str">
        <f t="shared" si="6"/>
        <v/>
      </c>
      <c r="BS100" t="str">
        <f t="shared" si="7"/>
        <v>{SILVER}The 5600 Class is a large tank engine that offers more power and tractive effort than smaller 0-6-0 tank engines, at the expense of greater weight and higher running costs.</v>
      </c>
    </row>
    <row r="101" spans="1:71" x14ac:dyDescent="0.25">
      <c r="A101" t="s">
        <v>31</v>
      </c>
      <c r="B101" t="s">
        <v>337</v>
      </c>
      <c r="C101">
        <v>222</v>
      </c>
      <c r="D101" t="s">
        <v>304</v>
      </c>
      <c r="E101" t="s">
        <v>313</v>
      </c>
      <c r="F101" t="s">
        <v>316</v>
      </c>
      <c r="G101">
        <v>1926</v>
      </c>
      <c r="H101">
        <v>1932</v>
      </c>
      <c r="I101">
        <v>1967</v>
      </c>
      <c r="K101">
        <v>1400</v>
      </c>
      <c r="M101" s="6">
        <v>21</v>
      </c>
      <c r="N101" s="6">
        <v>26</v>
      </c>
      <c r="O101" s="6">
        <v>2</v>
      </c>
      <c r="P101" s="6">
        <v>180</v>
      </c>
      <c r="Q101" s="7">
        <f>((($Y101/2)/60)*5280)/($R101*3.2*PI())</f>
        <v>191.48329090743655</v>
      </c>
      <c r="R101" s="6">
        <v>1.6</v>
      </c>
      <c r="S101" s="6">
        <f>((($M101*$M101/4)*PI())*($N101/12)*$O101*$P101*$Q101)/(33000*1.1)</f>
        <v>1425.1065340909088</v>
      </c>
      <c r="T101">
        <v>67</v>
      </c>
      <c r="U101" s="9">
        <v>46</v>
      </c>
      <c r="W101">
        <v>118</v>
      </c>
      <c r="X101" s="4">
        <f>IF(AND(T101&gt;0,W101&gt;0),(W101/((T101+U101)*10)),"")</f>
        <v>0.10442477876106195</v>
      </c>
      <c r="Y101">
        <v>70</v>
      </c>
      <c r="AA101">
        <v>10.44</v>
      </c>
      <c r="AB101">
        <v>10.44</v>
      </c>
      <c r="AE101" s="11">
        <v>0</v>
      </c>
      <c r="AF101" t="str">
        <f>CONCATENATE(VLOOKUP(AG101, 'Voxel Sizes'!$A$2:$B$18,2,FALSE),"x",INT(AC101*15), "x", INT(AD101*15))</f>
        <v>102x0x0</v>
      </c>
      <c r="AG101">
        <f>ROUND(15*((AB101*10)/256),0)</f>
        <v>6</v>
      </c>
      <c r="AH101" t="s">
        <v>331</v>
      </c>
      <c r="AI101" t="str">
        <f>CONCATENATE(VLOOKUP(AG101,Constants!$A$2:$C$16,IF(AH101&lt;&gt;"", 3, 2), FALSE),IF(AH101&lt;&gt;"",CONCATENATE(",",VLOOKUP(AH101,$B:$AI,34,FALSE)),""))</f>
        <v>2,2,2,2,1,2</v>
      </c>
      <c r="AO101">
        <v>1</v>
      </c>
      <c r="AP101">
        <v>38</v>
      </c>
      <c r="AQ101">
        <f>IF(I101&lt;&gt;"",MAX(8,(I101-G101)-4),"")</f>
        <v>37</v>
      </c>
      <c r="AT101">
        <f>MIN(Y101/150, 1)*30</f>
        <v>14</v>
      </c>
      <c r="AU101">
        <f>MIN(K101/4000, 1)*20</f>
        <v>7</v>
      </c>
      <c r="AV101">
        <f>MIN(W101/400,1)*20</f>
        <v>5.8999999999999995</v>
      </c>
      <c r="AW101" s="4">
        <v>1</v>
      </c>
      <c r="AX101">
        <f>((MAX($J101,1)*MIN($AE101/300,1)))*IF(D101="Wagon",50,10)</f>
        <v>0</v>
      </c>
      <c r="AY101">
        <f>VLOOKUP($E101,Constants!$I:$K, 2, FALSE)</f>
        <v>1.1499999999999999</v>
      </c>
      <c r="AZ101">
        <f>VLOOKUP($E101,Constants!$I:$K, 3, FALSE)*IF(AND(D101="multiple_unit",Y101&lt;110),0.75,1)</f>
        <v>1.7</v>
      </c>
      <c r="BA101">
        <f>INT(POWER(((Constants!$G$2+$AT101+$AU101+$AV101+$AX101)*$AW101)*$AZ101, 1.05))+$AS101</f>
        <v>66</v>
      </c>
      <c r="BB101">
        <f>INT(((Constants!$G$1+$AT101+$AU101+$AV101+$AX101)*(1/$AW101))*$AY101)+$AR101</f>
        <v>71</v>
      </c>
      <c r="BL101" t="str">
        <f>VLOOKUP(G101,Eras!$A$2:$C$10, 2, TRUE)</f>
        <v>big4</v>
      </c>
      <c r="BM101" t="s">
        <v>370</v>
      </c>
      <c r="BN101" t="str">
        <f>CONCATENATE(BL101,"_",BM101)</f>
        <v>big4_Express</v>
      </c>
      <c r="BO101" t="str">
        <f t="shared" si="4"/>
        <v/>
      </c>
      <c r="BP101" t="str">
        <f t="shared" si="5"/>
        <v/>
      </c>
      <c r="BQ101" t="s">
        <v>395</v>
      </c>
      <c r="BR101" t="str">
        <f t="shared" si="6"/>
        <v/>
      </c>
      <c r="BS101" t="str">
        <f t="shared" si="7"/>
        <v>{SILVER}The Hughes Crab was named for its distinctive "scuttling" motion, caused by the inclined cylinders.</v>
      </c>
    </row>
    <row r="102" spans="1:71" x14ac:dyDescent="0.25">
      <c r="A102" t="s">
        <v>148</v>
      </c>
      <c r="B102" t="s">
        <v>475</v>
      </c>
      <c r="C102">
        <v>224</v>
      </c>
      <c r="D102" t="s">
        <v>304</v>
      </c>
      <c r="E102" t="s">
        <v>313</v>
      </c>
      <c r="F102" t="s">
        <v>316</v>
      </c>
      <c r="G102">
        <v>1927</v>
      </c>
      <c r="I102">
        <v>1961</v>
      </c>
      <c r="K102">
        <v>1200</v>
      </c>
      <c r="M102" s="6">
        <v>17</v>
      </c>
      <c r="N102" s="6">
        <v>26</v>
      </c>
      <c r="O102" s="6">
        <v>3</v>
      </c>
      <c r="P102" s="6">
        <v>180</v>
      </c>
      <c r="Q102" s="7">
        <f>((($Y102/2)/60)*5280)/($R102*3.2*PI())</f>
        <v>164.12853506351706</v>
      </c>
      <c r="R102" s="6">
        <v>2</v>
      </c>
      <c r="S102" s="6">
        <f>((($M102*$M102/4)*PI())*($N102/12)*$O102*$P102*$Q102)/(33000*1.1)</f>
        <v>1200.7457386363637</v>
      </c>
      <c r="T102">
        <v>66</v>
      </c>
      <c r="U102" s="9">
        <v>53</v>
      </c>
      <c r="W102">
        <v>96</v>
      </c>
      <c r="X102" s="4">
        <f>IF(AND(T102&gt;0,W102&gt;0),(W102/((T102+U102)*10)),"")</f>
        <v>8.067226890756303E-2</v>
      </c>
      <c r="Y102">
        <v>75</v>
      </c>
      <c r="AA102">
        <v>17.899999999999999</v>
      </c>
      <c r="AB102">
        <f>AA102-7.5</f>
        <v>10.399999999999999</v>
      </c>
      <c r="AE102" s="11">
        <v>0</v>
      </c>
      <c r="AF102" t="str">
        <f>CONCATENATE(VLOOKUP(AG102, 'Voxel Sizes'!$A$2:$B$18,2,FALSE),"x",INT(AC102*15), "x", INT(AD102*15))</f>
        <v>102x0x0</v>
      </c>
      <c r="AG102">
        <f>ROUND(15*((AB102*10)/256),0)</f>
        <v>6</v>
      </c>
      <c r="AH102" t="s">
        <v>441</v>
      </c>
      <c r="AI102" t="str">
        <f>CONCATENATE(VLOOKUP(AG102,Constants!$A$2:$C$16,IF(AH102&lt;&gt;"", 3, 2), FALSE),IF(AH102&lt;&gt;"",CONCATENATE(",",VLOOKUP(AH102,$B:$AI,34,FALSE)),""))</f>
        <v>2,2,2,2,1,2</v>
      </c>
      <c r="AO102">
        <v>1</v>
      </c>
      <c r="AP102">
        <v>40</v>
      </c>
      <c r="AQ102">
        <f>IF(I102&lt;&gt;"",MAX(8,(I102-G102)-4),"")</f>
        <v>30</v>
      </c>
      <c r="AT102">
        <f>MIN(Y102/150, 1)*30</f>
        <v>15</v>
      </c>
      <c r="AU102">
        <f>MIN(K102/4000, 1)*20</f>
        <v>6</v>
      </c>
      <c r="AV102">
        <f>MIN(W102/400,1)*20</f>
        <v>4.8</v>
      </c>
      <c r="AW102" s="4">
        <v>1</v>
      </c>
      <c r="AX102">
        <f>((MAX($J102,1)*MIN($AE102/300,1)))*IF(D102="Wagon",50,10)</f>
        <v>0</v>
      </c>
      <c r="AY102">
        <f>VLOOKUP($E102,Constants!$I:$K, 2, FALSE)</f>
        <v>1.1499999999999999</v>
      </c>
      <c r="AZ102">
        <f>VLOOKUP($E102,Constants!$I:$K, 3, FALSE)*IF(AND(D102="multiple_unit",Y102&lt;110),0.75,1)</f>
        <v>1.7</v>
      </c>
      <c r="BA102">
        <f>INT(POWER(((Constants!$G$2+$AT102+$AU102+$AV102+$AX102)*$AW102)*$AZ102, 1.05))+$AS102</f>
        <v>63</v>
      </c>
      <c r="BB102">
        <f>INT(((Constants!$G$1+$AT102+$AU102+$AV102+$AX102)*(1/$AW102))*$AY102)+$AR102</f>
        <v>69</v>
      </c>
      <c r="BL102" t="str">
        <f>VLOOKUP(G102,Eras!$A$2:$C$10, 2, TRUE)</f>
        <v>big4</v>
      </c>
      <c r="BM102" t="s">
        <v>419</v>
      </c>
      <c r="BN102" t="str">
        <f>CONCATENATE(BL102,"_",BM102)</f>
        <v>big4_Passenger</v>
      </c>
      <c r="BO102" t="str">
        <f t="shared" si="4"/>
        <v/>
      </c>
      <c r="BP102" t="str">
        <f t="shared" si="5"/>
        <v/>
      </c>
      <c r="BQ102" t="s">
        <v>474</v>
      </c>
      <c r="BR102" t="str">
        <f t="shared" si="6"/>
        <v/>
      </c>
      <c r="BS102" t="str">
        <f t="shared" si="7"/>
        <v>{SILVER}The D49 is a Nigel Gresley designed 4-4-0 locomotive for passenger traffic.</v>
      </c>
    </row>
    <row r="103" spans="1:71" x14ac:dyDescent="0.25">
      <c r="A103" t="s">
        <v>477</v>
      </c>
      <c r="B103" t="s">
        <v>476</v>
      </c>
      <c r="C103">
        <v>226</v>
      </c>
      <c r="D103" t="s">
        <v>304</v>
      </c>
      <c r="E103" t="s">
        <v>313</v>
      </c>
      <c r="F103" t="s">
        <v>316</v>
      </c>
      <c r="G103">
        <v>1927</v>
      </c>
      <c r="H103">
        <v>1936</v>
      </c>
      <c r="I103">
        <v>1962</v>
      </c>
      <c r="K103">
        <v>2300</v>
      </c>
      <c r="M103" s="6">
        <v>16.25</v>
      </c>
      <c r="N103" s="6">
        <v>28</v>
      </c>
      <c r="O103" s="6">
        <v>4</v>
      </c>
      <c r="P103" s="6">
        <v>250</v>
      </c>
      <c r="Q103" s="7">
        <f>((($Y103/2)/60)*5280)/($R103*3.2*PI())</f>
        <v>232.10095867568069</v>
      </c>
      <c r="R103" s="6">
        <v>1.98</v>
      </c>
      <c r="S103" s="6">
        <f>((($M103*$M103/4)*PI())*($N103/12)*$O103*$P103*$Q103)/(33000*1.1)</f>
        <v>3094.166690580043</v>
      </c>
      <c r="T103">
        <v>90.4</v>
      </c>
      <c r="W103">
        <v>179</v>
      </c>
      <c r="X103" s="4">
        <f>IF(AND(T103&gt;0,W103&gt;0),(W103/((T103+U103)*10)),"")</f>
        <v>0.19800884955752213</v>
      </c>
      <c r="Y103">
        <v>105</v>
      </c>
      <c r="AA103">
        <v>20.78</v>
      </c>
      <c r="AB103">
        <f>AA103-7.5</f>
        <v>13.280000000000001</v>
      </c>
      <c r="AD103">
        <v>4.08</v>
      </c>
      <c r="AE103" s="11">
        <v>0</v>
      </c>
      <c r="AF103" t="str">
        <f>CONCATENATE(VLOOKUP(AG103, 'Voxel Sizes'!$A$2:$B$18,2,FALSE),"x",INT(AC103*15), "x", INT(AD103*15))</f>
        <v>136x0x61</v>
      </c>
      <c r="AG103">
        <f>ROUND(15*((AB103*10)/256),0)</f>
        <v>8</v>
      </c>
      <c r="AH103" t="s">
        <v>472</v>
      </c>
      <c r="AI103" t="str">
        <f>CONCATENATE(VLOOKUP(AG103,Constants!$A$2:$C$16,IF(AH103&lt;&gt;"", 3, 2), FALSE),IF(AH103&lt;&gt;"",CONCATENATE(",",VLOOKUP(AH103,$B:$AI,34,FALSE)),""))</f>
        <v>2,4,2,2,1,2</v>
      </c>
      <c r="AO103">
        <v>1</v>
      </c>
      <c r="AP103">
        <v>40</v>
      </c>
      <c r="AQ103">
        <f>IF(I103&lt;&gt;"",MAX(8,(I103-G103)-4),"")</f>
        <v>31</v>
      </c>
      <c r="AT103">
        <f>MIN(Y103/150, 1)*30</f>
        <v>21</v>
      </c>
      <c r="AU103">
        <f>MIN(K103/4000, 1)*20</f>
        <v>11.5</v>
      </c>
      <c r="AV103">
        <f>MIN(W103/400,1)*20</f>
        <v>8.9499999999999993</v>
      </c>
      <c r="AW103" s="4">
        <v>1</v>
      </c>
      <c r="AX103">
        <f>((MAX($J103,1)*MIN($AE103/300,1)))*IF(D103="Wagon",50,10)</f>
        <v>0</v>
      </c>
      <c r="AY103">
        <f>VLOOKUP($E103,Constants!$I:$K, 2, FALSE)</f>
        <v>1.1499999999999999</v>
      </c>
      <c r="AZ103">
        <f>VLOOKUP($E103,Constants!$I:$K, 3, FALSE)*IF(AND(D103="multiple_unit",Y103&lt;110),0.75,1)</f>
        <v>1.7</v>
      </c>
      <c r="BA103">
        <f>INT(POWER(((Constants!$G$2+$AT103+$AU103+$AV103+$AX103)*$AW103)*$AZ103, 1.05))+$AS103</f>
        <v>98</v>
      </c>
      <c r="BB103">
        <f>INT(((Constants!$G$1+$AT103+$AU103+$AV103+$AX103)*(1/$AW103))*$AY103)+$AR103</f>
        <v>87</v>
      </c>
      <c r="BL103" t="str">
        <f>VLOOKUP(G103,Eras!$A$2:$C$10, 2, TRUE)</f>
        <v>big4</v>
      </c>
      <c r="BM103" t="s">
        <v>370</v>
      </c>
      <c r="BN103" t="str">
        <f>CONCATENATE(BL103,"_",BM103)</f>
        <v>big4_Express</v>
      </c>
      <c r="BO103" t="str">
        <f t="shared" si="4"/>
        <v/>
      </c>
      <c r="BP103" t="str">
        <f t="shared" si="5"/>
        <v/>
      </c>
      <c r="BQ103" t="s">
        <v>478</v>
      </c>
      <c r="BR103" t="str">
        <f t="shared" si="6"/>
        <v/>
      </c>
      <c r="BS103" t="str">
        <f t="shared" si="7"/>
        <v>{SILVER}The King Class is a larger and more powerful development of the Castle Class, designed for even higher sustained speeds.</v>
      </c>
    </row>
    <row r="104" spans="1:71" x14ac:dyDescent="0.25">
      <c r="A104" t="s">
        <v>34</v>
      </c>
      <c r="B104" t="s">
        <v>480</v>
      </c>
      <c r="C104">
        <v>228</v>
      </c>
      <c r="D104" t="s">
        <v>304</v>
      </c>
      <c r="E104" t="s">
        <v>313</v>
      </c>
      <c r="F104" t="s">
        <v>316</v>
      </c>
      <c r="G104">
        <v>1927</v>
      </c>
      <c r="H104">
        <v>1934</v>
      </c>
      <c r="I104">
        <v>1966</v>
      </c>
      <c r="K104">
        <v>950</v>
      </c>
      <c r="M104" s="6">
        <v>19</v>
      </c>
      <c r="N104" s="6">
        <v>26</v>
      </c>
      <c r="O104" s="6">
        <v>2</v>
      </c>
      <c r="P104" s="6">
        <v>200</v>
      </c>
      <c r="Q104" s="7">
        <f>((($Y104/2)/60)*5280)/($R104*3.2*PI())</f>
        <v>205.96522047186451</v>
      </c>
      <c r="R104" s="6">
        <v>1.7</v>
      </c>
      <c r="S104" s="6">
        <f>((($M104*$M104/4)*PI())*($N104/12)*$O104*$P104*$Q104)/(33000*1.1)</f>
        <v>1394.2364824717758</v>
      </c>
      <c r="T104">
        <v>87.6</v>
      </c>
      <c r="W104">
        <v>102</v>
      </c>
      <c r="X104" s="4">
        <f>IF(AND(T104&gt;0,W104&gt;0),(W104/((T104+U104)*10)),"")</f>
        <v>0.11643835616438356</v>
      </c>
      <c r="Y104">
        <v>80</v>
      </c>
      <c r="AA104">
        <v>14.4</v>
      </c>
      <c r="AB104">
        <v>14.4</v>
      </c>
      <c r="AE104" s="11">
        <v>0</v>
      </c>
      <c r="AF104" t="str">
        <f>CONCATENATE(VLOOKUP(AG104, 'Voxel Sizes'!$A$2:$B$18,2,FALSE),"x",INT(AC104*15), "x", INT(AD104*15))</f>
        <v>136x0x0</v>
      </c>
      <c r="AG104">
        <f>ROUND(15*((AB104*10)/256),0)</f>
        <v>8</v>
      </c>
      <c r="AI104" t="str">
        <f>CONCATENATE(VLOOKUP(AG104,Constants!$A$2:$C$16,IF(AH104&lt;&gt;"", 3, 2), FALSE),IF(AH104&lt;&gt;"",CONCATENATE(",",VLOOKUP(AH104,$B:$AI,34,FALSE)),""))</f>
        <v>2,4,2</v>
      </c>
      <c r="AO104">
        <v>1</v>
      </c>
      <c r="AP104">
        <v>40</v>
      </c>
      <c r="AQ104">
        <f>IF(I104&lt;&gt;"",MAX(8,(I104-G104)-4),"")</f>
        <v>35</v>
      </c>
      <c r="AT104">
        <f>MIN(Y104/150, 1)*30</f>
        <v>16</v>
      </c>
      <c r="AU104">
        <f>MIN(K104/4000, 1)*20</f>
        <v>4.75</v>
      </c>
      <c r="AV104">
        <f>MIN(W104/400,1)*20</f>
        <v>5.0999999999999996</v>
      </c>
      <c r="AW104" s="4">
        <v>1</v>
      </c>
      <c r="AX104">
        <f>((MAX($J104,1)*MIN($AE104/300,1)))*IF(D104="Wagon",50,10)</f>
        <v>0</v>
      </c>
      <c r="AY104">
        <f>VLOOKUP($E104,Constants!$I:$K, 2, FALSE)</f>
        <v>1.1499999999999999</v>
      </c>
      <c r="AZ104">
        <f>VLOOKUP($E104,Constants!$I:$K, 3, FALSE)*IF(AND(D104="multiple_unit",Y104&lt;110),0.75,1)</f>
        <v>1.7</v>
      </c>
      <c r="BA104">
        <f>INT(POWER(((Constants!$G$2+$AT104+$AU104+$AV104+$AX104)*$AW104)*$AZ104, 1.05))+$AS104</f>
        <v>63</v>
      </c>
      <c r="BB104">
        <f>INT(((Constants!$G$1+$AT104+$AU104+$AV104+$AX104)*(1/$AW104))*$AY104)+$AR104</f>
        <v>69</v>
      </c>
      <c r="BL104" t="str">
        <f>VLOOKUP(G104,Eras!$A$2:$C$10, 2, TRUE)</f>
        <v>big4</v>
      </c>
      <c r="BM104" t="s">
        <v>369</v>
      </c>
      <c r="BN104" t="str">
        <f>CONCATENATE(BL104,"_",BM104)</f>
        <v>big4_Mixed Traffic</v>
      </c>
      <c r="BO104" t="str">
        <f t="shared" si="4"/>
        <v/>
      </c>
      <c r="BP104" t="str">
        <f t="shared" si="5"/>
        <v/>
      </c>
      <c r="BQ104" t="s">
        <v>479</v>
      </c>
      <c r="BR104" t="str">
        <f t="shared" si="6"/>
        <v/>
      </c>
      <c r="BS104" t="str">
        <f t="shared" si="7"/>
        <v>{SILVER}Fowler's 2-6-4T achieved high speeds for a tank engine, and was typically used on longer distance services.</v>
      </c>
    </row>
    <row r="105" spans="1:71" x14ac:dyDescent="0.25">
      <c r="A105" t="s">
        <v>481</v>
      </c>
      <c r="B105" t="s">
        <v>483</v>
      </c>
      <c r="C105">
        <v>230</v>
      </c>
      <c r="D105" t="s">
        <v>304</v>
      </c>
      <c r="E105" t="s">
        <v>313</v>
      </c>
      <c r="F105" t="s">
        <v>316</v>
      </c>
      <c r="G105">
        <v>1928</v>
      </c>
      <c r="H105">
        <v>1943</v>
      </c>
      <c r="I105">
        <v>1965</v>
      </c>
      <c r="K105">
        <v>1600</v>
      </c>
      <c r="M105" s="6">
        <v>18.5</v>
      </c>
      <c r="N105" s="6">
        <v>30</v>
      </c>
      <c r="O105" s="6">
        <v>2</v>
      </c>
      <c r="P105" s="6">
        <v>225</v>
      </c>
      <c r="Q105" s="7">
        <f>((($Y105/2)/60)*5280)/($R105*3.2*PI())</f>
        <v>194.52270822342763</v>
      </c>
      <c r="R105" s="6">
        <v>1.8</v>
      </c>
      <c r="S105" s="6">
        <f>((($M105*$M105/4)*PI())*($N105/12)*$O105*$P105*$Q105)/(33000*1.1)</f>
        <v>1620.501893939394</v>
      </c>
      <c r="T105">
        <v>76.2</v>
      </c>
      <c r="U105" s="9">
        <v>47</v>
      </c>
      <c r="W105">
        <v>121</v>
      </c>
      <c r="X105" s="4">
        <f>IF(AND(T105&gt;0,W105&gt;0),(W105/((T105+U105)*10)),"")</f>
        <v>9.8214285714285712E-2</v>
      </c>
      <c r="Y105">
        <v>80</v>
      </c>
      <c r="AA105">
        <v>19.2</v>
      </c>
      <c r="AB105">
        <f>AA105-7.5</f>
        <v>11.7</v>
      </c>
      <c r="AD105">
        <v>4.04</v>
      </c>
      <c r="AE105" s="11">
        <v>0</v>
      </c>
      <c r="AF105" t="str">
        <f>CONCATENATE(VLOOKUP(AG105, 'Voxel Sizes'!$A$2:$B$18,2,FALSE),"x",INT(AC105*15), "x", INT(AD105*15))</f>
        <v>120x0x60</v>
      </c>
      <c r="AG105">
        <f>ROUND(15*((AB105*10)/256),0)</f>
        <v>7</v>
      </c>
      <c r="AH105" t="s">
        <v>472</v>
      </c>
      <c r="AI105" t="str">
        <f>CONCATENATE(VLOOKUP(AG105,Constants!$A$2:$C$16,IF(AH105&lt;&gt;"", 3, 2), FALSE),IF(AH105&lt;&gt;"",CONCATENATE(",",VLOOKUP(AH105,$B:$AI,34,FALSE)),""))</f>
        <v>2,3,2,2,1,2</v>
      </c>
      <c r="AO105">
        <v>1</v>
      </c>
      <c r="AP105">
        <v>40</v>
      </c>
      <c r="AQ105">
        <f>IF(I105&lt;&gt;"",MAX(8,(I105-G105)-4),"")</f>
        <v>33</v>
      </c>
      <c r="AT105">
        <f>MIN(Y105/150, 1)*30</f>
        <v>16</v>
      </c>
      <c r="AU105">
        <f>MIN(K105/4000, 1)*20</f>
        <v>8</v>
      </c>
      <c r="AV105">
        <f>MIN(W105/400,1)*20</f>
        <v>6.05</v>
      </c>
      <c r="AW105" s="4">
        <v>1</v>
      </c>
      <c r="AX105">
        <f>((MAX($J105,1)*MIN($AE105/300,1)))*IF(D105="Wagon",50,10)</f>
        <v>0</v>
      </c>
      <c r="AY105">
        <f>VLOOKUP($E105,Constants!$I:$K, 2, FALSE)</f>
        <v>1.1499999999999999</v>
      </c>
      <c r="AZ105">
        <f>VLOOKUP($E105,Constants!$I:$K, 3, FALSE)*IF(AND(D105="multiple_unit",Y105&lt;110),0.75,1)</f>
        <v>1.7</v>
      </c>
      <c r="BA105">
        <f>INT(POWER(((Constants!$G$2+$AT105+$AU105+$AV105+$AX105)*$AW105)*$AZ105, 1.05))+$AS105</f>
        <v>73</v>
      </c>
      <c r="BB105">
        <f>INT(((Constants!$G$1+$AT105+$AU105+$AV105+$AX105)*(1/$AW105))*$AY105)+$AR105</f>
        <v>74</v>
      </c>
      <c r="BL105" t="str">
        <f>VLOOKUP(G105,Eras!$A$2:$C$10, 2, TRUE)</f>
        <v>big4</v>
      </c>
      <c r="BM105" t="s">
        <v>369</v>
      </c>
      <c r="BN105" t="str">
        <f>CONCATENATE(BL105,"_",BM105)</f>
        <v>big4_Mixed Traffic</v>
      </c>
      <c r="BO105" t="str">
        <f t="shared" si="4"/>
        <v/>
      </c>
      <c r="BP105" t="str">
        <f t="shared" si="5"/>
        <v/>
      </c>
      <c r="BQ105" t="s">
        <v>482</v>
      </c>
      <c r="BR105" t="str">
        <f t="shared" si="6"/>
        <v/>
      </c>
      <c r="BS105" t="str">
        <f t="shared" si="7"/>
        <v>{SILVER}The GWR 4900 Hall Class set the template for the 4-6-0 mixed traffic locomotive, fast enough for express passenger services with enough tractive effort for freight.</v>
      </c>
    </row>
    <row r="106" spans="1:71" x14ac:dyDescent="0.25">
      <c r="A106" t="s">
        <v>26</v>
      </c>
      <c r="B106" t="s">
        <v>485</v>
      </c>
      <c r="C106">
        <v>232</v>
      </c>
      <c r="D106" t="s">
        <v>304</v>
      </c>
      <c r="E106" t="s">
        <v>313</v>
      </c>
      <c r="F106" t="s">
        <v>316</v>
      </c>
      <c r="G106">
        <v>1928</v>
      </c>
      <c r="H106">
        <v>1935</v>
      </c>
      <c r="I106">
        <v>1966</v>
      </c>
      <c r="K106">
        <v>2100</v>
      </c>
      <c r="M106" s="6">
        <v>19</v>
      </c>
      <c r="N106" s="6">
        <v>26</v>
      </c>
      <c r="O106" s="6">
        <v>3</v>
      </c>
      <c r="P106" s="6">
        <v>220</v>
      </c>
      <c r="Q106" s="7">
        <f>((($Y106/2)/60)*5280)/($R106*3.2*PI())</f>
        <v>236.34509049146459</v>
      </c>
      <c r="R106" s="6">
        <v>2</v>
      </c>
      <c r="S106" s="6">
        <f>((($M106*$M106/4)*PI())*($N106/12)*$O106*$P106*$Q106)/(33000*1.1)</f>
        <v>2639.8124999999995</v>
      </c>
      <c r="T106">
        <v>92.8</v>
      </c>
      <c r="U106" s="9">
        <v>54</v>
      </c>
      <c r="W106">
        <v>146</v>
      </c>
      <c r="X106" s="4">
        <f>IF(AND(T106&gt;0,W106&gt;0),(W106/((T106+U106)*10)),"")</f>
        <v>9.9455040871934602E-2</v>
      </c>
      <c r="Y106">
        <v>108</v>
      </c>
      <c r="Z106">
        <v>1</v>
      </c>
      <c r="AA106">
        <v>21.46</v>
      </c>
      <c r="AB106">
        <f>AA106-7.5</f>
        <v>13.96</v>
      </c>
      <c r="AE106" s="11">
        <v>0</v>
      </c>
      <c r="AF106" t="str">
        <f>CONCATENATE(VLOOKUP(AG106, 'Voxel Sizes'!$A$2:$B$18,2,FALSE),"x",INT(AC106*15), "x", INT(AD106*15))</f>
        <v>136x0x0</v>
      </c>
      <c r="AG106">
        <f>ROUND(15*((AB106*10)/256),0)</f>
        <v>8</v>
      </c>
      <c r="AH106" t="s">
        <v>487</v>
      </c>
      <c r="AI106" t="str">
        <f>CONCATENATE(VLOOKUP(AG106,Constants!$A$2:$C$16,IF(AH106&lt;&gt;"", 3, 2), FALSE),IF(AH106&lt;&gt;"",CONCATENATE(",",VLOOKUP(AH106,$B:$AI,34,FALSE)),""))</f>
        <v>2,4,2,2,1,2</v>
      </c>
      <c r="AO106">
        <v>1</v>
      </c>
      <c r="AP106">
        <v>42</v>
      </c>
      <c r="AQ106">
        <f>IF(I106&lt;&gt;"",MAX(8,(I106-G106)-4),"")</f>
        <v>34</v>
      </c>
      <c r="AT106">
        <f>MIN(Y106/150, 1)*30</f>
        <v>21.599999999999998</v>
      </c>
      <c r="AU106">
        <f>MIN(K106/4000, 1)*20</f>
        <v>10.5</v>
      </c>
      <c r="AV106">
        <f>MIN(W106/400,1)*20</f>
        <v>7.3</v>
      </c>
      <c r="AW106" s="4">
        <v>1</v>
      </c>
      <c r="AX106">
        <f>((MAX($J106,1)*MIN($AE106/300,1)))*IF(D106="Wagon",50,10)</f>
        <v>0</v>
      </c>
      <c r="AY106">
        <f>VLOOKUP($E106,Constants!$I:$K, 2, FALSE)</f>
        <v>1.1499999999999999</v>
      </c>
      <c r="AZ106">
        <f>VLOOKUP($E106,Constants!$I:$K, 3, FALSE)*IF(AND(D106="multiple_unit",Y106&lt;110),0.75,1)</f>
        <v>1.7</v>
      </c>
      <c r="BA106">
        <f>INT(POWER(((Constants!$G$2+$AT106+$AU106+$AV106+$AX106)*$AW106)*$AZ106, 1.05))+$AS106</f>
        <v>93</v>
      </c>
      <c r="BB106">
        <f>INT(((Constants!$G$1+$AT106+$AU106+$AV106+$AX106)*(1/$AW106))*$AY106)+$AR106</f>
        <v>85</v>
      </c>
      <c r="BL106" t="str">
        <f>VLOOKUP(G106,Eras!$A$2:$C$10, 2, TRUE)</f>
        <v>big4</v>
      </c>
      <c r="BM106" t="s">
        <v>370</v>
      </c>
      <c r="BN106" t="str">
        <f>CONCATENATE(BL106,"_",BM106)</f>
        <v>big4_Express</v>
      </c>
      <c r="BO106" t="str">
        <f t="shared" si="4"/>
        <v/>
      </c>
      <c r="BP106" t="str">
        <f t="shared" si="5"/>
        <v/>
      </c>
      <c r="BQ106" t="s">
        <v>484</v>
      </c>
      <c r="BR106" t="str">
        <f t="shared" si="6"/>
        <v/>
      </c>
      <c r="BS106" t="str">
        <f t="shared" si="7"/>
        <v>{SILVER}The Gresley A3 is a Pacific (4-6-2) locomotive famed for its 100mph+ performance hauling LNER's Flying Scotsman service.</v>
      </c>
    </row>
    <row r="107" spans="1:71" x14ac:dyDescent="0.25">
      <c r="A107" t="s">
        <v>22</v>
      </c>
      <c r="B107" t="s">
        <v>489</v>
      </c>
      <c r="C107">
        <v>234</v>
      </c>
      <c r="D107" t="s">
        <v>304</v>
      </c>
      <c r="E107" t="s">
        <v>313</v>
      </c>
      <c r="F107" t="s">
        <v>316</v>
      </c>
      <c r="G107">
        <v>1929</v>
      </c>
      <c r="H107">
        <v>1950</v>
      </c>
      <c r="I107">
        <v>1971</v>
      </c>
      <c r="K107">
        <v>750</v>
      </c>
      <c r="M107" s="6">
        <v>17.5</v>
      </c>
      <c r="N107" s="6">
        <v>24</v>
      </c>
      <c r="O107" s="6">
        <v>2</v>
      </c>
      <c r="P107" s="6">
        <v>200</v>
      </c>
      <c r="Q107" s="7">
        <f>((($Y107/2)/60)*5280)/($R107*3.2*PI())</f>
        <v>187.57546864401954</v>
      </c>
      <c r="R107" s="6">
        <v>1.4</v>
      </c>
      <c r="S107" s="6">
        <f>((($M107*$M107/4)*PI())*($N107/12)*$O107*$P107*$Q107)/(33000*1.1)</f>
        <v>994.31818181818198</v>
      </c>
      <c r="T107">
        <v>48.3</v>
      </c>
      <c r="W107">
        <v>100</v>
      </c>
      <c r="X107" s="4">
        <f>IF(AND(T107&gt;0,W107&gt;0),(W107/((T107+U107)*10)),"")</f>
        <v>0.20703933747412009</v>
      </c>
      <c r="Y107">
        <v>60</v>
      </c>
      <c r="Z107">
        <v>1</v>
      </c>
      <c r="AA107">
        <v>9.5</v>
      </c>
      <c r="AB107">
        <v>9.5</v>
      </c>
      <c r="AD107">
        <v>3.7349999999999999</v>
      </c>
      <c r="AE107" s="11">
        <v>0</v>
      </c>
      <c r="AF107" t="str">
        <f>CONCATENATE(VLOOKUP(AG107, 'Voxel Sizes'!$A$2:$B$18,2,FALSE),"x",INT(AC107*15), "x", INT(AD107*15))</f>
        <v>102x0x56</v>
      </c>
      <c r="AG107">
        <f>ROUND(15*((AB107*10)/256),0)</f>
        <v>6</v>
      </c>
      <c r="AI107" t="str">
        <f>CONCATENATE(VLOOKUP(AG107,Constants!$A$2:$C$16,IF(AH107&lt;&gt;"", 3, 2), FALSE),IF(AH107&lt;&gt;"",CONCATENATE(",",VLOOKUP(AH107,$B:$AI,34,FALSE)),""))</f>
        <v>2,2,2</v>
      </c>
      <c r="AO107">
        <v>1</v>
      </c>
      <c r="AP107">
        <v>47</v>
      </c>
      <c r="AQ107">
        <f>IF(I107&lt;&gt;"",MAX(8,(I107-G107)-4),"")</f>
        <v>38</v>
      </c>
      <c r="AT107">
        <f>MIN(Y107/150, 1)*30</f>
        <v>12</v>
      </c>
      <c r="AU107">
        <f>MIN(K107/4000, 1)*20</f>
        <v>3.75</v>
      </c>
      <c r="AV107">
        <f>MIN(W107/400,1)*20</f>
        <v>5</v>
      </c>
      <c r="AW107" s="4">
        <v>1</v>
      </c>
      <c r="AX107">
        <f>((MAX($J107,1)*MIN($AE107/300,1)))*IF(D107="Wagon",50,10)</f>
        <v>0</v>
      </c>
      <c r="AY107">
        <f>VLOOKUP($E107,Constants!$I:$K, 2, FALSE)</f>
        <v>1.1499999999999999</v>
      </c>
      <c r="AZ107">
        <f>VLOOKUP($E107,Constants!$I:$K, 3, FALSE)*IF(AND(D107="multiple_unit",Y107&lt;110),0.75,1)</f>
        <v>1.7</v>
      </c>
      <c r="BA107">
        <f>INT(POWER(((Constants!$G$2+$AT107+$AU107+$AV107+$AX107)*$AW107)*$AZ107, 1.05))+$AS107</f>
        <v>52</v>
      </c>
      <c r="BB107">
        <f>INT(((Constants!$G$1+$AT107+$AU107+$AV107+$AX107)*(1/$AW107))*$AY107)+$AR107</f>
        <v>64</v>
      </c>
      <c r="BL107" t="str">
        <f>VLOOKUP(G107,Eras!$A$2:$C$10, 2, TRUE)</f>
        <v>big4</v>
      </c>
      <c r="BM107" t="s">
        <v>368</v>
      </c>
      <c r="BN107" t="str">
        <f>CONCATENATE(BL107,"_",BM107)</f>
        <v>big4_Cheap</v>
      </c>
      <c r="BO107" t="str">
        <f t="shared" si="4"/>
        <v/>
      </c>
      <c r="BP107" t="str">
        <f t="shared" si="5"/>
        <v/>
      </c>
      <c r="BQ107" t="s">
        <v>488</v>
      </c>
      <c r="BR107" t="str">
        <f t="shared" si="6"/>
        <v/>
      </c>
      <c r="BS107" t="str">
        <f t="shared" si="7"/>
        <v>{SILVER}The 5700 class numbered 863 locomotives, and was ubiquitous across the GWR network.</v>
      </c>
    </row>
    <row r="108" spans="1:71" x14ac:dyDescent="0.25">
      <c r="A108" t="s">
        <v>35</v>
      </c>
      <c r="B108" t="s">
        <v>192</v>
      </c>
      <c r="C108">
        <v>236</v>
      </c>
      <c r="D108" t="s">
        <v>304</v>
      </c>
      <c r="E108" t="s">
        <v>313</v>
      </c>
      <c r="F108" t="s">
        <v>316</v>
      </c>
      <c r="G108">
        <v>1930</v>
      </c>
      <c r="H108">
        <v>1935</v>
      </c>
      <c r="I108">
        <v>1961</v>
      </c>
      <c r="K108">
        <v>1750</v>
      </c>
      <c r="M108" s="6">
        <v>16.5</v>
      </c>
      <c r="N108" s="6">
        <v>26</v>
      </c>
      <c r="O108" s="6">
        <v>3</v>
      </c>
      <c r="P108" s="6">
        <v>220</v>
      </c>
      <c r="Q108" s="7">
        <f>((($Y108/2)/60)*5280)/($R108*3.2*PI())</f>
        <v>207.89614441378828</v>
      </c>
      <c r="R108" s="6">
        <v>2</v>
      </c>
      <c r="S108" s="6">
        <f>((($M108*$M108/4)*PI())*($N108/12)*$O108*$P108*$Q108)/(33000*1.1)</f>
        <v>1751.19140625</v>
      </c>
      <c r="T108">
        <v>68.2</v>
      </c>
      <c r="U108" s="9">
        <v>43.1</v>
      </c>
      <c r="W108">
        <v>111</v>
      </c>
      <c r="X108" s="4">
        <f>IF(AND(T108&gt;0,W108&gt;0),(W108/((T108+U108)*10)),"")</f>
        <v>9.9730458221024262E-2</v>
      </c>
      <c r="Y108">
        <v>95</v>
      </c>
      <c r="AA108">
        <v>17.93</v>
      </c>
      <c r="AB108">
        <f>AA108-7.5</f>
        <v>10.43</v>
      </c>
      <c r="AD108">
        <v>3.96</v>
      </c>
      <c r="AE108" s="11">
        <v>0</v>
      </c>
      <c r="AF108" t="str">
        <f>CONCATENATE(VLOOKUP(AG108, 'Voxel Sizes'!$A$2:$B$18,2,FALSE),"x",INT(AC108*15), "x", INT(AD108*15))</f>
        <v>102x0x59</v>
      </c>
      <c r="AG108">
        <f>ROUND(15*((AB108*10)/256),0)</f>
        <v>6</v>
      </c>
      <c r="AH108" t="s">
        <v>492</v>
      </c>
      <c r="AI108" t="str">
        <f>CONCATENATE(VLOOKUP(AG108,Constants!$A$2:$C$16,IF(AH108&lt;&gt;"", 3, 2), FALSE),IF(AH108&lt;&gt;"",CONCATENATE(",",VLOOKUP(AH108,$B:$AI,34,FALSE)),""))</f>
        <v>2,2,2,2,1,2</v>
      </c>
      <c r="AO108">
        <v>1</v>
      </c>
      <c r="AP108">
        <v>39</v>
      </c>
      <c r="AQ108">
        <f>IF(I108&lt;&gt;"",MAX(8,(I108-G108)-4),"")</f>
        <v>27</v>
      </c>
      <c r="AT108">
        <f>MIN(Y108/150, 1)*30</f>
        <v>19</v>
      </c>
      <c r="AU108">
        <f>MIN(K108/4000, 1)*20</f>
        <v>8.75</v>
      </c>
      <c r="AV108">
        <f>MIN(W108/400,1)*20</f>
        <v>5.5500000000000007</v>
      </c>
      <c r="AW108" s="4">
        <v>1</v>
      </c>
      <c r="AX108">
        <f>((MAX($J108,1)*MIN($AE108/300,1)))*IF(D108="Wagon",50,10)</f>
        <v>0</v>
      </c>
      <c r="AY108">
        <f>VLOOKUP($E108,Constants!$I:$K, 2, FALSE)</f>
        <v>1.1499999999999999</v>
      </c>
      <c r="AZ108">
        <f>VLOOKUP($E108,Constants!$I:$K, 3, FALSE)*IF(AND(D108="multiple_unit",Y108&lt;110),0.75,1)</f>
        <v>1.7</v>
      </c>
      <c r="BA108">
        <f>INT(POWER(((Constants!$G$2+$AT108+$AU108+$AV108+$AX108)*$AW108)*$AZ108, 1.05))+$AS108</f>
        <v>80</v>
      </c>
      <c r="BB108">
        <f>INT(((Constants!$G$1+$AT108+$AU108+$AV108+$AX108)*(1/$AW108))*$AY108)+$AR108</f>
        <v>78</v>
      </c>
      <c r="BL108" t="str">
        <f>VLOOKUP(G108,Eras!$A$2:$C$10, 2, TRUE)</f>
        <v>big4</v>
      </c>
      <c r="BM108" t="s">
        <v>370</v>
      </c>
      <c r="BN108" t="str">
        <f>CONCATENATE(BL108,"_",BM108)</f>
        <v>big4_Express</v>
      </c>
      <c r="BO108" t="str">
        <f t="shared" si="4"/>
        <v/>
      </c>
      <c r="BP108" t="str">
        <f t="shared" si="5"/>
        <v/>
      </c>
      <c r="BQ108" t="s">
        <v>490</v>
      </c>
      <c r="BR108" t="str">
        <f t="shared" si="6"/>
        <v/>
      </c>
      <c r="BS108" t="str">
        <f t="shared" si="7"/>
        <v>{SILVER}The Schools class was the most powerful 4-4-0 locomotive produced in  Europe, and the last British locomotive with such a wheel layout.</v>
      </c>
    </row>
    <row r="109" spans="1:71" x14ac:dyDescent="0.25">
      <c r="A109" t="s">
        <v>78</v>
      </c>
      <c r="B109" t="s">
        <v>213</v>
      </c>
      <c r="C109">
        <v>236</v>
      </c>
      <c r="D109" t="s">
        <v>304</v>
      </c>
      <c r="E109" t="s">
        <v>314</v>
      </c>
      <c r="F109" t="s">
        <v>316</v>
      </c>
      <c r="G109">
        <v>1933</v>
      </c>
      <c r="H109">
        <v>1942</v>
      </c>
      <c r="I109">
        <v>1962</v>
      </c>
      <c r="K109">
        <v>260</v>
      </c>
      <c r="T109">
        <v>35</v>
      </c>
      <c r="W109">
        <v>55</v>
      </c>
      <c r="X109" s="4">
        <f>IF(AND(T109&gt;0,W109&gt;0),(W109/((T109+U109)*10)),"")</f>
        <v>0.15714285714285714</v>
      </c>
      <c r="Y109">
        <v>63</v>
      </c>
      <c r="AA109">
        <v>18.399999999999999</v>
      </c>
      <c r="AB109">
        <v>17</v>
      </c>
      <c r="AE109" s="11">
        <v>69</v>
      </c>
      <c r="AF109" t="str">
        <f>CONCATENATE(VLOOKUP(AG109, 'Voxel Sizes'!$A$2:$B$18,2,FALSE),"x",INT(AC109*15), "x", INT(AD109*15))</f>
        <v>164x0x0</v>
      </c>
      <c r="AG109">
        <f>ROUND(15*((AB109*10)/256),0)</f>
        <v>10</v>
      </c>
      <c r="AI109" t="str">
        <f>CONCATENATE(VLOOKUP(AG109,Constants!$A$2:$C$16,IF(AH109&lt;&gt;"", 3, 2), FALSE),IF(AH109&lt;&gt;"",CONCATENATE(",",VLOOKUP(AH109,$B:$AI,34,FALSE)),""))</f>
        <v>4,2,4</v>
      </c>
      <c r="AP109">
        <v>26</v>
      </c>
      <c r="AQ109">
        <f>IF(I109&lt;&gt;"",MAX(8,(I109-G109)-4),"")</f>
        <v>25</v>
      </c>
      <c r="AT109">
        <f>MIN(Y109/150, 1)*30</f>
        <v>12.6</v>
      </c>
      <c r="AU109">
        <f>MIN(K109/4000, 1)*20</f>
        <v>1.3</v>
      </c>
      <c r="AV109">
        <f>MIN(W109/400,1)*20</f>
        <v>2.75</v>
      </c>
      <c r="AW109" s="4">
        <v>1</v>
      </c>
      <c r="AX109">
        <f>((MAX($J109,1)*MIN($AE109/300,1)))*IF(D109="Wagon",50,10)</f>
        <v>2.3000000000000003</v>
      </c>
      <c r="AY109">
        <f>VLOOKUP($E109,Constants!$I:$K, 2, FALSE)</f>
        <v>1</v>
      </c>
      <c r="AZ109">
        <f>VLOOKUP($E109,Constants!$I:$K, 3, FALSE)*IF(AND(D109="multiple_unit",Y109&lt;110),0.75,1)</f>
        <v>2</v>
      </c>
      <c r="BA109">
        <f>INT(POWER(((Constants!$G$2+$AT109+$AU109+$AV109+$AX109)*$AW109)*$AZ109, 1.05))+$AS109</f>
        <v>58</v>
      </c>
      <c r="BB109">
        <f>INT(((Constants!$G$1+$AT109+$AU109+$AV109+$AX109)*(1/$AW109))*$AY109)+$AR109</f>
        <v>53</v>
      </c>
      <c r="BK109" t="s">
        <v>325</v>
      </c>
      <c r="BL109" t="str">
        <f>VLOOKUP(G109,Eras!$A$2:$C$10, 2, TRUE)</f>
        <v>big4</v>
      </c>
      <c r="BM109" t="s">
        <v>372</v>
      </c>
      <c r="BN109" t="str">
        <f>CONCATENATE(BL109,"_",BM109)</f>
        <v>big4_DMU (Cheap)</v>
      </c>
      <c r="BO109" t="str">
        <f t="shared" si="4"/>
        <v/>
      </c>
      <c r="BP109" t="str">
        <f t="shared" si="5"/>
        <v/>
      </c>
      <c r="BQ109" t="s">
        <v>501</v>
      </c>
      <c r="BR109" t="str">
        <f t="shared" si="6"/>
        <v/>
      </c>
      <c r="BS109" t="str">
        <f t="shared" si="7"/>
        <v>{SILVER}The GWR Railcars used AEC bus hardware in a lightweight streamlined body.</v>
      </c>
    </row>
    <row r="110" spans="1:71" x14ac:dyDescent="0.25">
      <c r="A110" t="s">
        <v>493</v>
      </c>
      <c r="B110" t="s">
        <v>495</v>
      </c>
      <c r="C110">
        <v>238</v>
      </c>
      <c r="D110" t="s">
        <v>304</v>
      </c>
      <c r="E110" t="s">
        <v>313</v>
      </c>
      <c r="F110" t="s">
        <v>316</v>
      </c>
      <c r="G110">
        <v>1932</v>
      </c>
      <c r="H110">
        <v>1936</v>
      </c>
      <c r="I110">
        <v>1965</v>
      </c>
      <c r="K110">
        <v>600</v>
      </c>
      <c r="M110" s="6">
        <v>16</v>
      </c>
      <c r="N110" s="6">
        <v>24</v>
      </c>
      <c r="O110" s="6">
        <v>2</v>
      </c>
      <c r="P110" s="6">
        <v>165</v>
      </c>
      <c r="Q110" s="7">
        <f>((($Y110/2)/60)*5280)/($R110*3.2*PI())</f>
        <v>218.83804675135607</v>
      </c>
      <c r="R110" s="6">
        <v>1.6</v>
      </c>
      <c r="S110" s="6">
        <f>((($M110*$M110/4)*PI())*($N110/12)*$O110*$P110*$Q110)/(33000*1.1)</f>
        <v>799.99999999999977</v>
      </c>
      <c r="T110">
        <v>43</v>
      </c>
      <c r="W110">
        <v>62</v>
      </c>
      <c r="X110" s="4">
        <f>IF(AND(T110&gt;0,W110&gt;0),(W110/((T110+U110)*10)),"")</f>
        <v>0.14418604651162792</v>
      </c>
      <c r="Y110">
        <v>80</v>
      </c>
      <c r="AA110">
        <v>9.1199999999999992</v>
      </c>
      <c r="AB110">
        <v>9.1199999999999992</v>
      </c>
      <c r="AD110">
        <v>3.82</v>
      </c>
      <c r="AE110" s="11">
        <v>0</v>
      </c>
      <c r="AF110" t="str">
        <f>CONCATENATE(VLOOKUP(AG110, 'Voxel Sizes'!$A$2:$B$18,2,FALSE),"x",INT(AC110*15), "x", INT(AD110*15))</f>
        <v>82x0x57</v>
      </c>
      <c r="AG110">
        <f>ROUND(15*((AB110*10)/256),0)</f>
        <v>5</v>
      </c>
      <c r="AI110" t="str">
        <f>CONCATENATE(VLOOKUP(AG110,Constants!$A$2:$C$16,IF(AH110&lt;&gt;"", 3, 2), FALSE),IF(AH110&lt;&gt;"",CONCATENATE(",",VLOOKUP(AH110,$B:$AI,34,FALSE)),""))</f>
        <v>2,1,2</v>
      </c>
      <c r="AO110">
        <v>1</v>
      </c>
      <c r="AP110">
        <v>46</v>
      </c>
      <c r="AQ110">
        <f>IF(I110&lt;&gt;"",MAX(8,(I110-G110)-4),"")</f>
        <v>29</v>
      </c>
      <c r="AT110">
        <f>MIN(Y110/150, 1)*30</f>
        <v>16</v>
      </c>
      <c r="AU110">
        <f>MIN(K110/4000, 1)*20</f>
        <v>3</v>
      </c>
      <c r="AV110">
        <f>MIN(W110/400,1)*20</f>
        <v>3.1</v>
      </c>
      <c r="AW110" s="4">
        <v>1</v>
      </c>
      <c r="AX110">
        <f>((MAX($J110,1)*MIN($AE110/300,1)))*IF(D110="Wagon",50,10)</f>
        <v>0</v>
      </c>
      <c r="AY110">
        <f>VLOOKUP($E110,Constants!$I:$K, 2, FALSE)</f>
        <v>1.1499999999999999</v>
      </c>
      <c r="AZ110">
        <f>VLOOKUP($E110,Constants!$I:$K, 3, FALSE)*IF(AND(D110="multiple_unit",Y110&lt;110),0.75,1)</f>
        <v>1.7</v>
      </c>
      <c r="BA110">
        <f>INT(POWER(((Constants!$G$2+$AT110+$AU110+$AV110+$AX110)*$AW110)*$AZ110, 1.05))+$AS110</f>
        <v>55</v>
      </c>
      <c r="BB110">
        <f>INT(((Constants!$G$1+$AT110+$AU110+$AV110+$AX110)*(1/$AW110))*$AY110)+$AR110</f>
        <v>65</v>
      </c>
      <c r="BL110" t="str">
        <f>VLOOKUP(G110,Eras!$A$2:$C$10, 2, TRUE)</f>
        <v>big4</v>
      </c>
      <c r="BM110" t="s">
        <v>368</v>
      </c>
      <c r="BN110" t="str">
        <f>CONCATENATE(BL110,"_",BM110)</f>
        <v>big4_Cheap</v>
      </c>
      <c r="BO110" t="str">
        <f t="shared" si="4"/>
        <v/>
      </c>
      <c r="BP110" t="str">
        <f t="shared" si="5"/>
        <v/>
      </c>
      <c r="BQ110" t="s">
        <v>494</v>
      </c>
      <c r="BR110" t="str">
        <f t="shared" si="6"/>
        <v/>
      </c>
      <c r="BS110" t="str">
        <f t="shared" si="7"/>
        <v>{SILVER}The 1400 class (originally the 4800 class) is an update of an 1868 design with more modern features. Although small, it is capable of high speed.</v>
      </c>
    </row>
    <row r="111" spans="1:71" x14ac:dyDescent="0.25">
      <c r="A111" t="s">
        <v>30</v>
      </c>
      <c r="B111" t="s">
        <v>330</v>
      </c>
      <c r="C111">
        <v>238</v>
      </c>
      <c r="D111" t="s">
        <v>304</v>
      </c>
      <c r="E111" t="s">
        <v>313</v>
      </c>
      <c r="F111" t="s">
        <v>316</v>
      </c>
      <c r="G111">
        <v>1934</v>
      </c>
      <c r="H111">
        <v>1951</v>
      </c>
      <c r="I111">
        <v>1967</v>
      </c>
      <c r="K111">
        <v>1250</v>
      </c>
      <c r="T111">
        <v>73.400000000000006</v>
      </c>
      <c r="U111" s="9">
        <v>46</v>
      </c>
      <c r="W111">
        <v>113</v>
      </c>
      <c r="X111" s="4">
        <f>IF(AND(T111&gt;0,W111&gt;0),(W111/((T111+U111)*10)),"")</f>
        <v>9.4639865996649919E-2</v>
      </c>
      <c r="Y111">
        <v>92</v>
      </c>
      <c r="Z111">
        <v>1</v>
      </c>
      <c r="AA111">
        <v>11.76</v>
      </c>
      <c r="AB111">
        <v>11.76</v>
      </c>
      <c r="AE111" s="11">
        <v>0</v>
      </c>
      <c r="AF111" t="str">
        <f>CONCATENATE(VLOOKUP(AG111, 'Voxel Sizes'!$A$2:$B$18,2,FALSE),"x",INT(AC111*15), "x", INT(AD111*15))</f>
        <v>120x0x0</v>
      </c>
      <c r="AG111">
        <f>ROUND(15*((AB111*10)/256),0)</f>
        <v>7</v>
      </c>
      <c r="AH111" t="s">
        <v>336</v>
      </c>
      <c r="AI111" t="str">
        <f>CONCATENATE(VLOOKUP(AG111,Constants!$A$2:$C$16,IF(AH111&lt;&gt;"", 3, 2), FALSE),IF(AH111&lt;&gt;"",CONCATENATE(",",VLOOKUP(AH111,$B:$AI,34,FALSE)),""))</f>
        <v>2,3,2,2,1,2</v>
      </c>
      <c r="AO111">
        <v>1</v>
      </c>
      <c r="AP111">
        <v>44</v>
      </c>
      <c r="AQ111">
        <f>IF(I111&lt;&gt;"",MAX(8,(I111-G111)-4),"")</f>
        <v>29</v>
      </c>
      <c r="AT111">
        <f>MIN(Y111/150, 1)*30</f>
        <v>18.399999999999999</v>
      </c>
      <c r="AU111">
        <f>MIN(K111/4000, 1)*20</f>
        <v>6.25</v>
      </c>
      <c r="AV111">
        <f>MIN(W111/400,1)*20</f>
        <v>5.6499999999999995</v>
      </c>
      <c r="AW111" s="4">
        <v>1</v>
      </c>
      <c r="AX111">
        <f>((MAX($J111,1)*MIN($AE111/300,1)))*IF(D111="Wagon",50,10)</f>
        <v>0</v>
      </c>
      <c r="AY111">
        <f>VLOOKUP($E111,Constants!$I:$K, 2, FALSE)</f>
        <v>1.1499999999999999</v>
      </c>
      <c r="AZ111">
        <f>VLOOKUP($E111,Constants!$I:$K, 3, FALSE)*IF(AND(D111="multiple_unit",Y111&lt;110),0.75,1)</f>
        <v>1.7</v>
      </c>
      <c r="BA111">
        <f>INT(POWER(((Constants!$G$2+$AT111+$AU111+$AV111+$AX111)*$AW111)*$AZ111, 1.05))+$AS111</f>
        <v>73</v>
      </c>
      <c r="BB111">
        <f>INT(((Constants!$G$1+$AT111+$AU111+$AV111+$AX111)*(1/$AW111))*$AY111)+$AR111</f>
        <v>75</v>
      </c>
      <c r="BL111" t="str">
        <f>VLOOKUP(G111,Eras!$A$2:$C$10, 2, TRUE)</f>
        <v>big4</v>
      </c>
      <c r="BM111" t="s">
        <v>369</v>
      </c>
      <c r="BN111" t="str">
        <f>CONCATENATE(BL111,"_",BM111)</f>
        <v>big4_Mixed Traffic</v>
      </c>
      <c r="BO111" t="str">
        <f t="shared" si="4"/>
        <v/>
      </c>
      <c r="BP111" t="str">
        <f t="shared" si="5"/>
        <v/>
      </c>
      <c r="BQ111" t="s">
        <v>410</v>
      </c>
      <c r="BR111" t="str">
        <f t="shared" si="6"/>
        <v/>
      </c>
      <c r="BS111" t="str">
        <f t="shared" si="7"/>
        <v>{SILVER}The Stanier Class 5, commonly known as the "Black 5", was a workhorse for the LMS and into the British Rail era. Although intended as a mixed traffic locomotive it was capable of high top speeds.</v>
      </c>
    </row>
    <row r="112" spans="1:71" x14ac:dyDescent="0.25">
      <c r="A112" t="s">
        <v>32</v>
      </c>
      <c r="B112" t="s">
        <v>329</v>
      </c>
      <c r="C112">
        <v>240</v>
      </c>
      <c r="D112" t="s">
        <v>304</v>
      </c>
      <c r="E112" t="s">
        <v>313</v>
      </c>
      <c r="F112" t="s">
        <v>316</v>
      </c>
      <c r="G112">
        <v>1934</v>
      </c>
      <c r="H112">
        <v>1936</v>
      </c>
      <c r="I112">
        <v>1967</v>
      </c>
      <c r="K112">
        <v>1375</v>
      </c>
      <c r="T112">
        <v>80.8</v>
      </c>
      <c r="U112" s="9">
        <v>52</v>
      </c>
      <c r="W112">
        <v>118</v>
      </c>
      <c r="X112" s="4">
        <f>IF(AND(T112&gt;0,W112&gt;0),(W112/((T112+U112)*10)),"")</f>
        <v>8.8855421686746983E-2</v>
      </c>
      <c r="Y112">
        <v>95</v>
      </c>
      <c r="Z112">
        <v>1</v>
      </c>
      <c r="AA112">
        <v>12.09</v>
      </c>
      <c r="AB112">
        <v>12.09</v>
      </c>
      <c r="AE112" s="11">
        <v>0</v>
      </c>
      <c r="AF112" t="str">
        <f>CONCATENATE(VLOOKUP(AG112, 'Voxel Sizes'!$A$2:$B$18,2,FALSE),"x",INT(AC112*15), "x", INT(AD112*15))</f>
        <v>120x0x0</v>
      </c>
      <c r="AG112">
        <f>ROUND(15*((AB112*10)/256),0)</f>
        <v>7</v>
      </c>
      <c r="AH112" t="s">
        <v>331</v>
      </c>
      <c r="AI112" t="str">
        <f>CONCATENATE(VLOOKUP(AG112,Constants!$A$2:$C$16,IF(AH112&lt;&gt;"", 3, 2), FALSE),IF(AH112&lt;&gt;"",CONCATENATE(",",VLOOKUP(AH112,$B:$AI,34,FALSE)),""))</f>
        <v>2,3,2,2,1,2</v>
      </c>
      <c r="AO112">
        <v>1</v>
      </c>
      <c r="AP112">
        <v>44</v>
      </c>
      <c r="AQ112">
        <f>IF(I112&lt;&gt;"",MAX(8,(I112-G112)-4),"")</f>
        <v>29</v>
      </c>
      <c r="AT112">
        <f>MIN(Y112/150, 1)*30</f>
        <v>19</v>
      </c>
      <c r="AU112">
        <f>MIN(K112/4000, 1)*20</f>
        <v>6.875</v>
      </c>
      <c r="AV112">
        <f>MIN(W112/400,1)*20</f>
        <v>5.8999999999999995</v>
      </c>
      <c r="AW112" s="4">
        <v>1</v>
      </c>
      <c r="AX112">
        <f>((MAX($J112,1)*MIN($AE112/300,1)))*IF(D112="Wagon",50,10)</f>
        <v>0</v>
      </c>
      <c r="AY112">
        <f>VLOOKUP($E112,Constants!$I:$K, 2, FALSE)</f>
        <v>1.1499999999999999</v>
      </c>
      <c r="AZ112">
        <f>VLOOKUP($E112,Constants!$I:$K, 3, FALSE)*IF(AND(D112="multiple_unit",Y112&lt;110),0.75,1)</f>
        <v>1.7</v>
      </c>
      <c r="BA112">
        <f>INT(POWER(((Constants!$G$2+$AT112+$AU112+$AV112+$AX112)*$AW112)*$AZ112, 1.05))+$AS112</f>
        <v>76</v>
      </c>
      <c r="BB112">
        <f>INT(((Constants!$G$1+$AT112+$AU112+$AV112+$AX112)*(1/$AW112))*$AY112)+$AR112</f>
        <v>76</v>
      </c>
      <c r="BL112" t="str">
        <f>VLOOKUP(G112,Eras!$A$2:$C$10, 2, TRUE)</f>
        <v>big4</v>
      </c>
      <c r="BM112" t="s">
        <v>370</v>
      </c>
      <c r="BN112" t="str">
        <f>CONCATENATE(BL112,"_",BM112)</f>
        <v>big4_Express</v>
      </c>
      <c r="BO112" t="str">
        <f t="shared" si="4"/>
        <v/>
      </c>
      <c r="BP112" t="str">
        <f t="shared" si="5"/>
        <v/>
      </c>
      <c r="BQ112" t="s">
        <v>396</v>
      </c>
      <c r="BR112" t="str">
        <f t="shared" si="6"/>
        <v/>
      </c>
      <c r="BS112" t="str">
        <f t="shared" si="7"/>
        <v>{SILVER}The Jubilee is the counterpart to the Class 5, often called the "Red Stanier" due to its red LMS livery. It was intended for passenger work, with slightly larger diameter driving wheels giving a higher top speed.</v>
      </c>
    </row>
    <row r="113" spans="1:71" x14ac:dyDescent="0.25">
      <c r="A113" t="s">
        <v>502</v>
      </c>
      <c r="B113" t="s">
        <v>193</v>
      </c>
      <c r="C113">
        <v>242</v>
      </c>
      <c r="D113" t="s">
        <v>304</v>
      </c>
      <c r="E113" t="s">
        <v>313</v>
      </c>
      <c r="F113" t="s">
        <v>316</v>
      </c>
      <c r="G113">
        <v>1935</v>
      </c>
      <c r="I113">
        <v>1968</v>
      </c>
      <c r="K113">
        <v>1300</v>
      </c>
      <c r="T113">
        <v>73</v>
      </c>
      <c r="U113" s="9">
        <v>46</v>
      </c>
      <c r="W113">
        <v>144</v>
      </c>
      <c r="X113" s="4">
        <f>IF(AND(T113&gt;0,W113&gt;0),(W113/((T113+U113)*10)),"")</f>
        <v>0.12100840336134454</v>
      </c>
      <c r="Y113">
        <v>70</v>
      </c>
      <c r="AA113">
        <v>19.22</v>
      </c>
      <c r="AB113">
        <f>19.22-7.46</f>
        <v>11.759999999999998</v>
      </c>
      <c r="AE113" s="11">
        <v>0</v>
      </c>
      <c r="AF113" t="str">
        <f>CONCATENATE(VLOOKUP(AG113, 'Voxel Sizes'!$A$2:$B$18,2,FALSE),"x",INT(AC113*15), "x", INT(AD113*15))</f>
        <v>120x0x0</v>
      </c>
      <c r="AG113">
        <f>ROUND(15*((AB113*10)/256),0)</f>
        <v>7</v>
      </c>
      <c r="AH113" t="s">
        <v>336</v>
      </c>
      <c r="AI113" t="str">
        <f>CONCATENATE(VLOOKUP(AG113,Constants!$A$2:$C$16,IF(AH113&lt;&gt;"", 3, 2), FALSE),IF(AH113&lt;&gt;"",CONCATENATE(",",VLOOKUP(AH113,$B:$AI,34,FALSE)),""))</f>
        <v>2,3,2,2,1,2</v>
      </c>
      <c r="AO113">
        <v>1</v>
      </c>
      <c r="AP113">
        <v>44</v>
      </c>
      <c r="AQ113">
        <f>IF(I113&lt;&gt;"",MAX(8,(I113-G113)-4),"")</f>
        <v>29</v>
      </c>
      <c r="AT113">
        <f>MIN(Y113/150, 1)*30</f>
        <v>14</v>
      </c>
      <c r="AU113">
        <f>MIN(K113/4000, 1)*20</f>
        <v>6.5</v>
      </c>
      <c r="AV113">
        <f>MIN(W113/400,1)*20</f>
        <v>7.1999999999999993</v>
      </c>
      <c r="AW113" s="4">
        <v>1</v>
      </c>
      <c r="AX113">
        <f>((MAX($J113,1)*MIN($AE113/300,1)))*IF(D113="Wagon",50,10)</f>
        <v>0</v>
      </c>
      <c r="AY113">
        <f>VLOOKUP($E113,Constants!$I:$K, 2, FALSE)</f>
        <v>1.1499999999999999</v>
      </c>
      <c r="AZ113">
        <f>VLOOKUP($E113,Constants!$I:$K, 3, FALSE)*IF(AND(D113="multiple_unit",Y113&lt;110),0.75,1)</f>
        <v>1.7</v>
      </c>
      <c r="BA113">
        <f>INT(POWER(((Constants!$G$2+$AT113+$AU113+$AV113+$AX113)*$AW113)*$AZ113, 1.05))+$AS113</f>
        <v>67</v>
      </c>
      <c r="BB113">
        <f>INT(((Constants!$G$1+$AT113+$AU113+$AV113+$AX113)*(1/$AW113))*$AY113)+$AR113</f>
        <v>72</v>
      </c>
      <c r="BL113" t="str">
        <f>VLOOKUP(G113,Eras!$A$2:$C$10, 2, TRUE)</f>
        <v>big4</v>
      </c>
      <c r="BM113" t="s">
        <v>371</v>
      </c>
      <c r="BN113" t="str">
        <f>CONCATENATE(BL113,"_",BM113)</f>
        <v>big4_Freight</v>
      </c>
      <c r="BO113" t="str">
        <f t="shared" si="4"/>
        <v/>
      </c>
      <c r="BP113" t="str">
        <f t="shared" si="5"/>
        <v/>
      </c>
      <c r="BQ113" t="s">
        <v>503</v>
      </c>
      <c r="BR113" t="str">
        <f t="shared" si="6"/>
        <v/>
      </c>
      <c r="BS113" t="str">
        <f t="shared" si="7"/>
        <v>{SILVER}The Stanier 8F is a further development of the Class 5, specialised for freight traffic with a 2-8-0 layout.</v>
      </c>
    </row>
    <row r="114" spans="1:71" x14ac:dyDescent="0.25">
      <c r="A114" t="s">
        <v>27</v>
      </c>
      <c r="B114" t="s">
        <v>505</v>
      </c>
      <c r="C114">
        <v>244</v>
      </c>
      <c r="D114" t="s">
        <v>304</v>
      </c>
      <c r="E114" t="s">
        <v>313</v>
      </c>
      <c r="F114" t="s">
        <v>316</v>
      </c>
      <c r="G114">
        <v>1935</v>
      </c>
      <c r="H114">
        <v>1938</v>
      </c>
      <c r="I114">
        <v>1966</v>
      </c>
      <c r="K114">
        <v>2450</v>
      </c>
      <c r="T114">
        <v>104.6</v>
      </c>
      <c r="U114" s="9">
        <v>64</v>
      </c>
      <c r="W114">
        <v>157</v>
      </c>
      <c r="X114" s="4">
        <f>IF(AND(T114&gt;0,W114&gt;0),(W114/((T114+U114)*10)),"")</f>
        <v>9.3119810201660741E-2</v>
      </c>
      <c r="Y114">
        <v>126</v>
      </c>
      <c r="Z114">
        <v>1</v>
      </c>
      <c r="AA114">
        <v>21.65</v>
      </c>
      <c r="AB114">
        <f>AA114-7.5</f>
        <v>14.149999999999999</v>
      </c>
      <c r="AD114">
        <v>3.99</v>
      </c>
      <c r="AE114" s="11">
        <v>0</v>
      </c>
      <c r="AF114" t="str">
        <f>CONCATENATE(VLOOKUP(AG114, 'Voxel Sizes'!$A$2:$B$18,2,FALSE),"x",INT(AC114*15), "x", INT(AD114*15))</f>
        <v>136x0x59</v>
      </c>
      <c r="AG114">
        <f>ROUND(15*((AB114*10)/256),0)</f>
        <v>8</v>
      </c>
      <c r="AH114" t="s">
        <v>487</v>
      </c>
      <c r="AI114" t="str">
        <f>CONCATENATE(VLOOKUP(AG114,Constants!$A$2:$C$16,IF(AH114&lt;&gt;"", 3, 2), FALSE),IF(AH114&lt;&gt;"",CONCATENATE(",",VLOOKUP(AH114,$B:$AI,34,FALSE)),""))</f>
        <v>2,4,2,2,1,2</v>
      </c>
      <c r="AO114">
        <v>1</v>
      </c>
      <c r="AP114">
        <v>38</v>
      </c>
      <c r="AQ114">
        <f>IF(I114&lt;&gt;"",MAX(8,(I114-G114)-4),"")</f>
        <v>27</v>
      </c>
      <c r="AT114">
        <f>MIN(Y114/150, 1)*30</f>
        <v>25.2</v>
      </c>
      <c r="AU114">
        <f>MIN(K114/4000, 1)*20</f>
        <v>12.25</v>
      </c>
      <c r="AV114">
        <f>MIN(W114/400,1)*20</f>
        <v>7.8500000000000005</v>
      </c>
      <c r="AW114" s="4">
        <v>1</v>
      </c>
      <c r="AX114">
        <f>((MAX($J114,1)*MIN($AE114/300,1)))*IF(D114="Wagon",50,10)</f>
        <v>0</v>
      </c>
      <c r="AY114">
        <f>VLOOKUP($E114,Constants!$I:$K, 2, FALSE)</f>
        <v>1.1499999999999999</v>
      </c>
      <c r="AZ114">
        <f>VLOOKUP($E114,Constants!$I:$K, 3, FALSE)*IF(AND(D114="multiple_unit",Y114&lt;110),0.75,1)</f>
        <v>1.7</v>
      </c>
      <c r="BA114">
        <f>INT(POWER(((Constants!$G$2+$AT114+$AU114+$AV114+$AX114)*$AW114)*$AZ114, 1.05))+$AS114</f>
        <v>106</v>
      </c>
      <c r="BB114">
        <f>INT(((Constants!$G$1+$AT114+$AU114+$AV114+$AX114)*(1/$AW114))*$AY114)+$AR114</f>
        <v>92</v>
      </c>
      <c r="BL114" t="str">
        <f>VLOOKUP(G114,Eras!$A$2:$C$10, 2, TRUE)</f>
        <v>big4</v>
      </c>
      <c r="BM114" t="s">
        <v>370</v>
      </c>
      <c r="BN114" t="str">
        <f>CONCATENATE(BL114,"_",BM114)</f>
        <v>big4_Express</v>
      </c>
      <c r="BO114" t="str">
        <f t="shared" si="4"/>
        <v/>
      </c>
      <c r="BP114" t="str">
        <f t="shared" si="5"/>
        <v/>
      </c>
      <c r="BQ114" t="s">
        <v>504</v>
      </c>
      <c r="BR114" t="str">
        <f t="shared" si="6"/>
        <v/>
      </c>
      <c r="BS114" t="str">
        <f t="shared" si="7"/>
        <v>{SILVER}The Gresley A4 is the iconic pinnacle of high-speed British steam, holding numerous speed and power records.</v>
      </c>
    </row>
    <row r="115" spans="1:71" x14ac:dyDescent="0.25">
      <c r="A115" t="s">
        <v>14</v>
      </c>
      <c r="B115" t="s">
        <v>506</v>
      </c>
      <c r="C115">
        <v>246</v>
      </c>
      <c r="D115" t="s">
        <v>304</v>
      </c>
      <c r="E115" t="s">
        <v>313</v>
      </c>
      <c r="F115" t="s">
        <v>316</v>
      </c>
      <c r="G115">
        <v>1936</v>
      </c>
      <c r="H115">
        <v>1944</v>
      </c>
      <c r="I115">
        <v>1966</v>
      </c>
      <c r="K115">
        <v>1900</v>
      </c>
      <c r="M115" s="6">
        <v>18.5</v>
      </c>
      <c r="N115" s="6">
        <v>26</v>
      </c>
      <c r="O115" s="6">
        <v>3</v>
      </c>
      <c r="P115" s="6">
        <v>220</v>
      </c>
      <c r="Q115" s="7">
        <f>((($Y115/2)/60)*5280)/($R115*3.2*PI())</f>
        <v>216.509982424214</v>
      </c>
      <c r="R115" s="6">
        <v>1.88</v>
      </c>
      <c r="S115" s="6">
        <f>((($M115*$M115/4)*PI())*($N115/12)*$O115*$P115*$Q115)/(33000*1.1)</f>
        <v>2292.6653922872338</v>
      </c>
      <c r="T115">
        <v>91</v>
      </c>
      <c r="U115" s="9">
        <v>54</v>
      </c>
      <c r="W115">
        <v>150</v>
      </c>
      <c r="X115" s="4">
        <f>IF(AND(T115&gt;0,W115&gt;0),(W115/((T115+U115)*10)),"")</f>
        <v>0.10344827586206896</v>
      </c>
      <c r="Y115">
        <v>93</v>
      </c>
      <c r="Z115">
        <v>1</v>
      </c>
      <c r="AA115">
        <v>20.239999999999998</v>
      </c>
      <c r="AB115">
        <f>AA115-7.5</f>
        <v>12.739999999999998</v>
      </c>
      <c r="AE115" s="11">
        <v>0</v>
      </c>
      <c r="AF115" t="str">
        <f>CONCATENATE(VLOOKUP(AG115, 'Voxel Sizes'!$A$2:$B$18,2,FALSE),"x",INT(AC115*15), "x", INT(AD115*15))</f>
        <v>120x0x0</v>
      </c>
      <c r="AG115">
        <f>ROUND(15*((AB115*10)/256),0)</f>
        <v>7</v>
      </c>
      <c r="AH115" t="s">
        <v>487</v>
      </c>
      <c r="AI115" t="str">
        <f>CONCATENATE(VLOOKUP(AG115,Constants!$A$2:$C$16,IF(AH115&lt;&gt;"", 3, 2), FALSE),IF(AH115&lt;&gt;"",CONCATENATE(",",VLOOKUP(AH115,$B:$AI,34,FALSE)),""))</f>
        <v>2,3,2,2,1,2</v>
      </c>
      <c r="AO115">
        <v>1</v>
      </c>
      <c r="AP115">
        <v>42</v>
      </c>
      <c r="AQ115">
        <f>IF(I115&lt;&gt;"",MAX(8,(I115-G115)-4),"")</f>
        <v>26</v>
      </c>
      <c r="AT115">
        <f>MIN(Y115/150, 1)*30</f>
        <v>18.600000000000001</v>
      </c>
      <c r="AU115">
        <f>MIN(K115/4000, 1)*20</f>
        <v>9.5</v>
      </c>
      <c r="AV115">
        <f>MIN(W115/400,1)*20</f>
        <v>7.5</v>
      </c>
      <c r="AW115" s="4">
        <v>1</v>
      </c>
      <c r="AX115">
        <f>((MAX($J115,1)*MIN($AE115/300,1)))*IF(D115="Wagon",50,10)</f>
        <v>0</v>
      </c>
      <c r="AY115">
        <f>VLOOKUP($E115,Constants!$I:$K, 2, FALSE)</f>
        <v>1.1499999999999999</v>
      </c>
      <c r="AZ115">
        <f>VLOOKUP($E115,Constants!$I:$K, 3, FALSE)*IF(AND(D115="multiple_unit",Y115&lt;110),0.75,1)</f>
        <v>1.7</v>
      </c>
      <c r="BA115">
        <f>INT(POWER(((Constants!$G$2+$AT115+$AU115+$AV115+$AX115)*$AW115)*$AZ115, 1.05))+$AS115</f>
        <v>85</v>
      </c>
      <c r="BB115">
        <f>INT(((Constants!$G$1+$AT115+$AU115+$AV115+$AX115)*(1/$AW115))*$AY115)+$AR115</f>
        <v>81</v>
      </c>
      <c r="BL115" t="str">
        <f>VLOOKUP(G115,Eras!$A$2:$C$10, 2, TRUE)</f>
        <v>big4</v>
      </c>
      <c r="BM115" t="s">
        <v>369</v>
      </c>
      <c r="BN115" t="str">
        <f>CONCATENATE(BL115,"_",BM115)</f>
        <v>big4_Mixed Traffic</v>
      </c>
      <c r="BO115" t="str">
        <f t="shared" si="4"/>
        <v/>
      </c>
      <c r="BP115" t="str">
        <f t="shared" si="5"/>
        <v/>
      </c>
      <c r="BQ115" t="s">
        <v>507</v>
      </c>
      <c r="BR115" t="str">
        <f t="shared" si="6"/>
        <v/>
      </c>
      <c r="BS115" t="str">
        <f t="shared" si="7"/>
        <v>{SILVER}The Gresley V2 is derived from the A3 type, adapted to mixed traffic with a shorter boiler, smaller driving wheels and a 2-6-2 layout.</v>
      </c>
    </row>
    <row r="116" spans="1:71" x14ac:dyDescent="0.25">
      <c r="A116" t="s">
        <v>23</v>
      </c>
      <c r="B116" t="s">
        <v>508</v>
      </c>
      <c r="C116">
        <v>248</v>
      </c>
      <c r="D116" t="s">
        <v>304</v>
      </c>
      <c r="E116" t="s">
        <v>313</v>
      </c>
      <c r="F116" t="s">
        <v>316</v>
      </c>
      <c r="G116">
        <v>1936</v>
      </c>
      <c r="H116">
        <v>1939</v>
      </c>
      <c r="I116">
        <v>1965</v>
      </c>
      <c r="K116">
        <v>1600</v>
      </c>
      <c r="M116" s="6">
        <v>18.5</v>
      </c>
      <c r="N116" s="6">
        <v>30</v>
      </c>
      <c r="O116" s="6">
        <v>2</v>
      </c>
      <c r="P116" s="6">
        <v>225</v>
      </c>
      <c r="Q116" s="7">
        <f>((($Y116/2)/60)*5280)/($R116*3.2*PI())</f>
        <v>193.09239419237301</v>
      </c>
      <c r="R116" s="6">
        <v>1.7</v>
      </c>
      <c r="S116" s="6">
        <f>((($M116*$M116/4)*PI())*($N116/12)*$O116*$P116*$Q116)/(33000*1.1)</f>
        <v>1608.5864388368984</v>
      </c>
      <c r="T116">
        <v>75.2</v>
      </c>
      <c r="U116" s="9">
        <v>48</v>
      </c>
      <c r="W116">
        <v>128</v>
      </c>
      <c r="X116" s="4">
        <f>IF(AND(T116&gt;0,W116&gt;0),(W116/((T116+U116)*10)),"")</f>
        <v>0.1038961038961039</v>
      </c>
      <c r="Y116">
        <v>75</v>
      </c>
      <c r="AA116">
        <v>19.21</v>
      </c>
      <c r="AB116">
        <f>AA116-7.5</f>
        <v>11.71</v>
      </c>
      <c r="AD116">
        <v>3.96</v>
      </c>
      <c r="AE116" s="11">
        <v>0</v>
      </c>
      <c r="AF116" t="str">
        <f>CONCATENATE(VLOOKUP(AG116, 'Voxel Sizes'!$A$2:$B$18,2,FALSE),"x",INT(AC116*15), "x", INT(AD116*15))</f>
        <v>120x0x59</v>
      </c>
      <c r="AG116">
        <f>ROUND(15*((AB116*10)/256),0)</f>
        <v>7</v>
      </c>
      <c r="AH116" t="s">
        <v>472</v>
      </c>
      <c r="AI116" t="str">
        <f>CONCATENATE(VLOOKUP(AG116,Constants!$A$2:$C$16,IF(AH116&lt;&gt;"", 3, 2), FALSE),IF(AH116&lt;&gt;"",CONCATENATE(",",VLOOKUP(AH116,$B:$AI,34,FALSE)),""))</f>
        <v>2,3,2,2,1,2</v>
      </c>
      <c r="AO116">
        <v>1</v>
      </c>
      <c r="AP116">
        <v>40</v>
      </c>
      <c r="AQ116">
        <f>IF(I116&lt;&gt;"",MAX(8,(I116-G116)-4),"")</f>
        <v>25</v>
      </c>
      <c r="AT116">
        <f>MIN(Y116/150, 1)*30</f>
        <v>15</v>
      </c>
      <c r="AU116">
        <f>MIN(K116/4000, 1)*20</f>
        <v>8</v>
      </c>
      <c r="AV116">
        <f>MIN(W116/400,1)*20</f>
        <v>6.4</v>
      </c>
      <c r="AW116" s="4">
        <v>1</v>
      </c>
      <c r="AX116">
        <f>((MAX($J116,1)*MIN($AE116/300,1)))*IF(D116="Wagon",50,10)</f>
        <v>0</v>
      </c>
      <c r="AY116">
        <f>VLOOKUP($E116,Constants!$I:$K, 2, FALSE)</f>
        <v>1.1499999999999999</v>
      </c>
      <c r="AZ116">
        <f>VLOOKUP($E116,Constants!$I:$K, 3, FALSE)*IF(AND(D116="multiple_unit",Y116&lt;110),0.75,1)</f>
        <v>1.7</v>
      </c>
      <c r="BA116">
        <f>INT(POWER(((Constants!$G$2+$AT116+$AU116+$AV116+$AX116)*$AW116)*$AZ116, 1.05))+$AS116</f>
        <v>71</v>
      </c>
      <c r="BB116">
        <f>INT(((Constants!$G$1+$AT116+$AU116+$AV116+$AX116)*(1/$AW116))*$AY116)+$AR116</f>
        <v>74</v>
      </c>
      <c r="BL116" t="str">
        <f>VLOOKUP(G116,Eras!$A$2:$C$10, 2, TRUE)</f>
        <v>big4</v>
      </c>
      <c r="BM116" t="s">
        <v>369</v>
      </c>
      <c r="BN116" t="str">
        <f>CONCATENATE(BL116,"_",BM116)</f>
        <v>big4_Mixed Traffic</v>
      </c>
      <c r="BO116" t="str">
        <f t="shared" si="4"/>
        <v/>
      </c>
      <c r="BP116" t="str">
        <f t="shared" si="5"/>
        <v/>
      </c>
      <c r="BQ116" t="s">
        <v>510</v>
      </c>
      <c r="BR116" t="str">
        <f t="shared" si="6"/>
        <v/>
      </c>
      <c r="BS116" t="str">
        <f t="shared" si="7"/>
        <v>{SILVER}The Grange class is a conservative design similar to the Hall class with smaller driving wheels, but proved to be reliable in service.</v>
      </c>
    </row>
    <row r="117" spans="1:71" x14ac:dyDescent="0.25">
      <c r="A117" t="s">
        <v>33</v>
      </c>
      <c r="B117" t="s">
        <v>509</v>
      </c>
      <c r="C117">
        <v>250</v>
      </c>
      <c r="D117" t="s">
        <v>304</v>
      </c>
      <c r="E117" t="s">
        <v>313</v>
      </c>
      <c r="F117" t="s">
        <v>316</v>
      </c>
      <c r="G117">
        <v>1937</v>
      </c>
      <c r="H117">
        <v>1948</v>
      </c>
      <c r="I117">
        <v>1964</v>
      </c>
      <c r="K117">
        <v>2500</v>
      </c>
      <c r="T117">
        <v>110</v>
      </c>
      <c r="U117" s="9">
        <v>57</v>
      </c>
      <c r="W117">
        <v>180</v>
      </c>
      <c r="X117" s="4">
        <f>IF(AND(T117&gt;0,W117&gt;0),(W117/((T117+U117)*10)),"")</f>
        <v>0.10778443113772455</v>
      </c>
      <c r="Y117">
        <v>115</v>
      </c>
      <c r="Z117">
        <v>1</v>
      </c>
      <c r="AA117">
        <v>22.49</v>
      </c>
      <c r="AB117">
        <f>AA117-7.5</f>
        <v>14.989999999999998</v>
      </c>
      <c r="AD117">
        <v>4.0389999999999997</v>
      </c>
      <c r="AE117" s="11">
        <v>0</v>
      </c>
      <c r="AF117" t="str">
        <f>CONCATENATE(VLOOKUP(AG117, 'Voxel Sizes'!$A$2:$B$18,2,FALSE),"x",INT(AC117*15), "x", INT(AD117*15))</f>
        <v>152x0x60</v>
      </c>
      <c r="AG117">
        <f>ROUND(15*((AB117*10)/256),0)</f>
        <v>9</v>
      </c>
      <c r="AH117" t="s">
        <v>512</v>
      </c>
      <c r="AI117" t="str">
        <f>CONCATENATE(VLOOKUP(AG117,Constants!$A$2:$C$16,IF(AH117&lt;&gt;"", 3, 2), FALSE),IF(AH117&lt;&gt;"",CONCATENATE(",",VLOOKUP(AH117,$B:$AI,34,FALSE)),""))</f>
        <v>2,5,2,2,1,2</v>
      </c>
      <c r="AO117">
        <v>1</v>
      </c>
      <c r="AP117">
        <v>45</v>
      </c>
      <c r="AQ117">
        <f>IF(I117&lt;&gt;"",MAX(8,(I117-G117)-4),"")</f>
        <v>23</v>
      </c>
      <c r="AT117">
        <f>MIN(Y117/150, 1)*30</f>
        <v>23</v>
      </c>
      <c r="AU117">
        <f>MIN(K117/4000, 1)*20</f>
        <v>12.5</v>
      </c>
      <c r="AV117">
        <f>MIN(W117/400,1)*20</f>
        <v>9</v>
      </c>
      <c r="AW117" s="4">
        <v>1</v>
      </c>
      <c r="AX117">
        <f>((MAX($J117,1)*MIN($AE117/300,1)))*IF(D117="Wagon",50,10)</f>
        <v>0</v>
      </c>
      <c r="AY117">
        <f>VLOOKUP($E117,Constants!$I:$K, 2, FALSE)</f>
        <v>1.1499999999999999</v>
      </c>
      <c r="AZ117">
        <f>VLOOKUP($E117,Constants!$I:$K, 3, FALSE)*IF(AND(D117="multiple_unit",Y117&lt;110),0.75,1)</f>
        <v>1.7</v>
      </c>
      <c r="BA117">
        <f>INT(POWER(((Constants!$G$2+$AT117+$AU117+$AV117+$AX117)*$AW117)*$AZ117, 1.05))+$AS117</f>
        <v>105</v>
      </c>
      <c r="BB117">
        <f>INT(((Constants!$G$1+$AT117+$AU117+$AV117+$AX117)*(1/$AW117))*$AY117)+$AR117</f>
        <v>91</v>
      </c>
      <c r="BL117" t="str">
        <f>VLOOKUP(G117,Eras!$A$2:$C$10, 2, TRUE)</f>
        <v>big4</v>
      </c>
      <c r="BM117" t="s">
        <v>370</v>
      </c>
      <c r="BN117" t="str">
        <f>CONCATENATE(BL117,"_",BM117)</f>
        <v>big4_Express</v>
      </c>
      <c r="BO117" t="str">
        <f t="shared" si="4"/>
        <v/>
      </c>
      <c r="BP117" t="str">
        <f t="shared" si="5"/>
        <v/>
      </c>
      <c r="BQ117" t="s">
        <v>511</v>
      </c>
      <c r="BR117" t="str">
        <f t="shared" si="6"/>
        <v/>
      </c>
      <c r="BS117" t="str">
        <f t="shared" si="7"/>
        <v>{SILVER}The Stanier Coronation briefly held the British speed record for a steam locomotive. In real life, the streamlined casing was only fitted to early examples.</v>
      </c>
    </row>
    <row r="118" spans="1:71" x14ac:dyDescent="0.25">
      <c r="A118" t="s">
        <v>36</v>
      </c>
      <c r="B118" t="s">
        <v>522</v>
      </c>
      <c r="C118">
        <v>252</v>
      </c>
      <c r="D118" t="s">
        <v>304</v>
      </c>
      <c r="E118" t="s">
        <v>313</v>
      </c>
      <c r="F118" t="s">
        <v>316</v>
      </c>
      <c r="G118">
        <v>1941</v>
      </c>
      <c r="H118">
        <v>1949</v>
      </c>
      <c r="I118">
        <v>1967</v>
      </c>
      <c r="K118">
        <v>2100</v>
      </c>
      <c r="M118" s="6">
        <v>18</v>
      </c>
      <c r="N118" s="6">
        <v>24</v>
      </c>
      <c r="O118" s="6">
        <v>3</v>
      </c>
      <c r="P118" s="6">
        <v>250</v>
      </c>
      <c r="Q118" s="7">
        <f>((($Y118/2)/60)*5280)/($R118*3.2*PI())</f>
        <v>241.87363061991991</v>
      </c>
      <c r="R118" s="6">
        <v>1.9</v>
      </c>
      <c r="S118" s="6">
        <f>((($M118*$M118/4)*PI())*($N118/12)*$O118*$P118*$Q118)/(33000*1.1)</f>
        <v>2543.3612440191391</v>
      </c>
      <c r="T118">
        <v>96.3</v>
      </c>
      <c r="U118" s="9">
        <v>52</v>
      </c>
      <c r="W118">
        <v>167</v>
      </c>
      <c r="X118" s="4">
        <f>IF(AND(T118&gt;0,W118&gt;0),(W118/((T118+U118)*10)),"")</f>
        <v>0.11260957518543493</v>
      </c>
      <c r="Y118">
        <v>105</v>
      </c>
      <c r="Z118">
        <v>1</v>
      </c>
      <c r="AA118">
        <v>21.23</v>
      </c>
      <c r="AB118">
        <f>AA118-7.5</f>
        <v>13.73</v>
      </c>
      <c r="AE118" s="11">
        <v>0</v>
      </c>
      <c r="AF118" t="str">
        <f>CONCATENATE(VLOOKUP(AG118, 'Voxel Sizes'!$A$2:$B$18,2,FALSE),"x",INT(AC118*15), "x", INT(AD118*15))</f>
        <v>136x0x0</v>
      </c>
      <c r="AG118">
        <f>ROUND(15*((AB118*10)/256),0)</f>
        <v>8</v>
      </c>
      <c r="AH118" t="s">
        <v>521</v>
      </c>
      <c r="AI118" t="str">
        <f>CONCATENATE(VLOOKUP(AG118,Constants!$A$2:$C$16,IF(AH118&lt;&gt;"", 3, 2), FALSE),IF(AH118&lt;&gt;"",CONCATENATE(",",VLOOKUP(AH118,$B:$AI,34,FALSE)),""))</f>
        <v>2,4,2,2,1,2</v>
      </c>
      <c r="AO118">
        <v>1</v>
      </c>
      <c r="AP118">
        <v>42</v>
      </c>
      <c r="AQ118">
        <f>IF(I118&lt;&gt;"",MAX(8,(I118-G118)-4),"")</f>
        <v>22</v>
      </c>
      <c r="AT118">
        <f>MIN(Y118/150, 1)*30</f>
        <v>21</v>
      </c>
      <c r="AU118">
        <f>MIN(K118/4000, 1)*20</f>
        <v>10.5</v>
      </c>
      <c r="AV118">
        <f>MIN(W118/400,1)*20</f>
        <v>8.35</v>
      </c>
      <c r="AW118" s="4">
        <v>1</v>
      </c>
      <c r="AX118">
        <f>((MAX($J118,1)*MIN($AE118/300,1)))*IF(D118="Wagon",50,10)</f>
        <v>0</v>
      </c>
      <c r="AY118">
        <f>VLOOKUP($E118,Constants!$I:$K, 2, FALSE)</f>
        <v>1.1499999999999999</v>
      </c>
      <c r="AZ118">
        <f>VLOOKUP($E118,Constants!$I:$K, 3, FALSE)*IF(AND(D118="multiple_unit",Y118&lt;110),0.75,1)</f>
        <v>1.7</v>
      </c>
      <c r="BA118">
        <f>INT(POWER(((Constants!$G$2+$AT118+$AU118+$AV118+$AX118)*$AW118)*$AZ118, 1.05))+$AS118</f>
        <v>94</v>
      </c>
      <c r="BB118">
        <f>INT(((Constants!$G$1+$AT118+$AU118+$AV118+$AX118)*(1/$AW118))*$AY118)+$AR118</f>
        <v>86</v>
      </c>
      <c r="BL118" t="str">
        <f>VLOOKUP(G118,Eras!$A$2:$C$10, 2, TRUE)</f>
        <v>big4</v>
      </c>
      <c r="BM118" t="s">
        <v>370</v>
      </c>
      <c r="BN118" t="str">
        <f>CONCATENATE(BL118,"_",BM118)</f>
        <v>big4_Express</v>
      </c>
      <c r="BO118" t="str">
        <f t="shared" si="4"/>
        <v/>
      </c>
      <c r="BP118" t="str">
        <f t="shared" si="5"/>
        <v/>
      </c>
      <c r="BQ118" t="s">
        <v>523</v>
      </c>
      <c r="BR118" t="str">
        <f t="shared" si="6"/>
        <v/>
      </c>
      <c r="BS118" t="str">
        <f t="shared" si="7"/>
        <v>{SILVER}The SR Merchant Navy is a large, powerful locomotive with an air-smoothed casing. Bulleid's novel design features proved to be troublesome, and the class was later rebuilt.</v>
      </c>
    </row>
    <row r="119" spans="1:71" x14ac:dyDescent="0.25">
      <c r="A119" t="s">
        <v>13</v>
      </c>
      <c r="B119" t="s">
        <v>195</v>
      </c>
      <c r="C119">
        <v>254</v>
      </c>
      <c r="D119" t="s">
        <v>169</v>
      </c>
      <c r="E119" t="s">
        <v>313</v>
      </c>
      <c r="F119" t="s">
        <v>316</v>
      </c>
      <c r="G119">
        <v>1942</v>
      </c>
      <c r="T119">
        <v>72</v>
      </c>
      <c r="W119">
        <v>119</v>
      </c>
      <c r="X119" s="4">
        <f>IF(AND(T119&gt;0,W119&gt;0),(W119/((T119+U119)*10)),"")</f>
        <v>0.16527777777777777</v>
      </c>
      <c r="AE119" s="11">
        <v>0</v>
      </c>
      <c r="AF119" t="str">
        <f>CONCATENATE(VLOOKUP(AG119, 'Voxel Sizes'!$A$2:$B$18,2,FALSE),"x",INT(AC119*15), "x", INT(AD119*15))</f>
        <v>0x0x0</v>
      </c>
      <c r="AG119">
        <f>ROUND(15*((AB119*10)/256),0)</f>
        <v>0</v>
      </c>
      <c r="AI119" t="str">
        <f>CONCATENATE(VLOOKUP(AG119,Constants!$A$2:$C$16,IF(AH119&lt;&gt;"", 3, 2), FALSE),IF(AH119&lt;&gt;"",CONCATENATE(",",VLOOKUP(AH119,$B:$AI,34,FALSE)),""))</f>
        <v>na</v>
      </c>
      <c r="AP119">
        <v>40</v>
      </c>
      <c r="AQ119" t="str">
        <f>IF(I119&lt;&gt;"",MAX(8,(I119-G119)-4),"")</f>
        <v/>
      </c>
      <c r="AT119">
        <f>MIN(Y119/150, 1)*30</f>
        <v>0</v>
      </c>
      <c r="AU119">
        <f>MIN(K119/4000, 1)*20</f>
        <v>0</v>
      </c>
      <c r="AV119">
        <f>MIN(W119/400,1)*20</f>
        <v>5.9499999999999993</v>
      </c>
      <c r="AW119" s="4">
        <v>1</v>
      </c>
      <c r="AX119">
        <f>((MAX($J119,1)*MIN($AE119/300,1)))*IF(D119="Wagon",50,10)</f>
        <v>0</v>
      </c>
      <c r="AY119">
        <f>VLOOKUP($E119,Constants!$I:$K, 2, FALSE)</f>
        <v>1.1499999999999999</v>
      </c>
      <c r="AZ119">
        <f>VLOOKUP($E119,Constants!$I:$K, 3, FALSE)*IF(AND(D119="multiple_unit",Y119&lt;110),0.75,1)</f>
        <v>1.7</v>
      </c>
      <c r="BA119">
        <f>INT(POWER(((Constants!$G$2+$AT119+$AU119+$AV119+$AX119)*$AW119)*$AZ119, 1.05))+$AS119</f>
        <v>21</v>
      </c>
      <c r="BB119">
        <f>INT(((Constants!$G$1+$AT119+$AU119+$AV119+$AX119)*(1/$AW119))*$AY119)+$AR119</f>
        <v>47</v>
      </c>
      <c r="BL119" t="str">
        <f>VLOOKUP(G119,Eras!$A$2:$C$10, 2, TRUE)</f>
        <v>big4</v>
      </c>
      <c r="BN119" t="str">
        <f>CONCATENATE(BL119,"_",BM119)</f>
        <v>big4_</v>
      </c>
      <c r="BO119" t="str">
        <f t="shared" si="4"/>
        <v/>
      </c>
      <c r="BP119" t="str">
        <f t="shared" si="5"/>
        <v/>
      </c>
      <c r="BR119" t="str">
        <f t="shared" si="6"/>
        <v/>
      </c>
      <c r="BS119" t="str">
        <f t="shared" si="7"/>
        <v>{SILVER}</v>
      </c>
    </row>
    <row r="120" spans="1:71" x14ac:dyDescent="0.25">
      <c r="A120" t="s">
        <v>68</v>
      </c>
      <c r="B120" t="s">
        <v>194</v>
      </c>
      <c r="C120">
        <v>256</v>
      </c>
      <c r="D120" t="s">
        <v>304</v>
      </c>
      <c r="E120" t="s">
        <v>338</v>
      </c>
      <c r="F120" t="s">
        <v>345</v>
      </c>
      <c r="G120">
        <v>1941</v>
      </c>
      <c r="H120">
        <v>1948</v>
      </c>
      <c r="I120">
        <v>1968</v>
      </c>
      <c r="K120">
        <v>1470</v>
      </c>
      <c r="T120">
        <v>101</v>
      </c>
      <c r="W120">
        <v>178</v>
      </c>
      <c r="X120" s="4">
        <f>IF(AND(T120&gt;0,W120&gt;0),(W120/((T120+U120)*10)),"")</f>
        <v>0.17623762376237623</v>
      </c>
      <c r="Y120">
        <v>75</v>
      </c>
      <c r="Z120">
        <v>1</v>
      </c>
      <c r="AA120">
        <v>17</v>
      </c>
      <c r="AB120">
        <v>17</v>
      </c>
      <c r="AE120" s="11">
        <v>0</v>
      </c>
      <c r="AF120" t="str">
        <f>CONCATENATE(VLOOKUP(AG120, 'Voxel Sizes'!$A$2:$B$18,2,FALSE),"x",INT(AC120*15), "x", INT(AD120*15))</f>
        <v>164x0x0</v>
      </c>
      <c r="AG120">
        <f>ROUND(15*((AB120*10)/256),0)</f>
        <v>10</v>
      </c>
      <c r="AI120" t="str">
        <f>CONCATENATE(VLOOKUP(AG120,Constants!$A$2:$C$16,IF(AH120&lt;&gt;"", 3, 2), FALSE),IF(AH120&lt;&gt;"",CONCATENATE(",",VLOOKUP(AH120,$B:$AI,34,FALSE)),""))</f>
        <v>4,2,4</v>
      </c>
      <c r="AP120">
        <v>41</v>
      </c>
      <c r="AQ120">
        <f>IF(I120&lt;&gt;"",MAX(8,(I120-G120)-4),"")</f>
        <v>23</v>
      </c>
      <c r="AT120">
        <f>MIN(Y120/150, 1)*30</f>
        <v>15</v>
      </c>
      <c r="AU120">
        <f>MIN(K120/4000, 1)*20</f>
        <v>7.35</v>
      </c>
      <c r="AV120">
        <f>MIN(W120/400,1)*20</f>
        <v>8.9</v>
      </c>
      <c r="AW120" s="4">
        <v>1</v>
      </c>
      <c r="AX120">
        <f>((MAX($J120,1)*MIN($AE120/300,1)))*IF(D120="Wagon",50,10)</f>
        <v>0</v>
      </c>
      <c r="AY120">
        <f>VLOOKUP($E120,Constants!$I:$K, 2, FALSE)</f>
        <v>0.85</v>
      </c>
      <c r="AZ120">
        <f>VLOOKUP($E120,Constants!$I:$K, 3, FALSE)*IF(AND(D120="multiple_unit",Y120&lt;110),0.75,1)</f>
        <v>2.2999999999999998</v>
      </c>
      <c r="BA120">
        <f>INT(POWER(((Constants!$G$2+$AT120+$AU120+$AV120+$AX120)*$AW120)*$AZ120, 1.05))+$AS120</f>
        <v>104</v>
      </c>
      <c r="BB120">
        <f>INT(((Constants!$G$1+$AT120+$AU120+$AV120+$AX120)*(1/$AW120))*$AY120)+$AR120</f>
        <v>56</v>
      </c>
      <c r="BL120" t="str">
        <f>VLOOKUP(G120,Eras!$A$2:$C$10, 2, TRUE)</f>
        <v>big4</v>
      </c>
      <c r="BM120" t="s">
        <v>379</v>
      </c>
      <c r="BN120" t="str">
        <f>CONCATENATE(BL120,"_",BM120)</f>
        <v>big4_MT (Electric)</v>
      </c>
      <c r="BO120" t="str">
        <f t="shared" si="4"/>
        <v/>
      </c>
      <c r="BP120" t="str">
        <f t="shared" si="5"/>
        <v/>
      </c>
      <c r="BQ120" t="s">
        <v>524</v>
      </c>
      <c r="BR120" t="str">
        <f t="shared" si="6"/>
        <v/>
      </c>
      <c r="BS120" t="str">
        <f t="shared" si="7"/>
        <v>{SILVER}With six traction motors, the CC is adept at handling both heavy freight and long passenger trains.</v>
      </c>
    </row>
    <row r="121" spans="1:71" x14ac:dyDescent="0.25">
      <c r="A121" t="s">
        <v>40</v>
      </c>
      <c r="B121" t="s">
        <v>525</v>
      </c>
      <c r="C121">
        <v>258</v>
      </c>
      <c r="D121" t="s">
        <v>304</v>
      </c>
      <c r="E121" t="s">
        <v>313</v>
      </c>
      <c r="F121" t="s">
        <v>316</v>
      </c>
      <c r="G121">
        <v>1942</v>
      </c>
      <c r="H121">
        <v>1942</v>
      </c>
      <c r="I121">
        <v>1966</v>
      </c>
      <c r="K121">
        <v>1600</v>
      </c>
      <c r="M121" s="6">
        <v>19</v>
      </c>
      <c r="N121" s="6">
        <v>26</v>
      </c>
      <c r="O121" s="6">
        <v>2</v>
      </c>
      <c r="P121" s="6">
        <v>230</v>
      </c>
      <c r="Q121" s="7">
        <f>((($Y121/2)/60)*5280)/($R121*3.2*PI())</f>
        <v>218.83804675135607</v>
      </c>
      <c r="R121" s="6">
        <v>1.5</v>
      </c>
      <c r="S121" s="6">
        <f>((($M121*$M121/4)*PI())*($N121/12)*$O121*$P121*$Q121)/(33000*1.1)</f>
        <v>1703.5827020202014</v>
      </c>
      <c r="T121">
        <v>50.3</v>
      </c>
      <c r="U121" s="9">
        <f>90.7-T121</f>
        <v>40.400000000000006</v>
      </c>
      <c r="W121">
        <v>134</v>
      </c>
      <c r="X121" s="4">
        <f>IF(AND(T121&gt;0,W121&gt;0),(W121/((T121+U121)*10)),"")</f>
        <v>0.14773980154355015</v>
      </c>
      <c r="Y121">
        <v>75</v>
      </c>
      <c r="Z121">
        <v>1</v>
      </c>
      <c r="AA121">
        <v>16.73</v>
      </c>
      <c r="AB121">
        <v>10</v>
      </c>
      <c r="AE121" s="11">
        <v>0</v>
      </c>
      <c r="AF121" t="str">
        <f>CONCATENATE(VLOOKUP(AG121, 'Voxel Sizes'!$A$2:$B$18,2,FALSE),"x",INT(AC121*15), "x", INT(AD121*15))</f>
        <v>102x0x0</v>
      </c>
      <c r="AG121">
        <f>ROUND(15*((AB121*10)/256),0)</f>
        <v>6</v>
      </c>
      <c r="AH121" t="s">
        <v>527</v>
      </c>
      <c r="AI121" t="str">
        <f>CONCATENATE(VLOOKUP(AG121,Constants!$A$2:$C$16,IF(AH121&lt;&gt;"", 3, 2), FALSE),IF(AH121&lt;&gt;"",CONCATENATE(",",VLOOKUP(AH121,$B:$AI,34,FALSE)),""))</f>
        <v>2,2,2,1,2,1</v>
      </c>
      <c r="AO121">
        <v>1</v>
      </c>
      <c r="AP121">
        <v>35</v>
      </c>
      <c r="AQ121">
        <f>IF(I121&lt;&gt;"",MAX(8,(I121-G121)-4),"")</f>
        <v>20</v>
      </c>
      <c r="AT121">
        <f>MIN(Y121/150, 1)*30</f>
        <v>15</v>
      </c>
      <c r="AU121">
        <f>MIN(K121/4000, 1)*20</f>
        <v>8</v>
      </c>
      <c r="AV121">
        <f>MIN(W121/400,1)*20</f>
        <v>6.7</v>
      </c>
      <c r="AW121" s="4">
        <v>1</v>
      </c>
      <c r="AX121">
        <f>((MAX($J121,1)*MIN($AE121/300,1)))*IF(D121="Wagon",50,10)</f>
        <v>0</v>
      </c>
      <c r="AY121">
        <f>VLOOKUP($E121,Constants!$I:$K, 2, FALSE)</f>
        <v>1.1499999999999999</v>
      </c>
      <c r="AZ121">
        <f>VLOOKUP($E121,Constants!$I:$K, 3, FALSE)*IF(AND(D121="multiple_unit",Y121&lt;110),0.75,1)</f>
        <v>1.7</v>
      </c>
      <c r="BA121">
        <f>INT(POWER(((Constants!$G$2+$AT121+$AU121+$AV121+$AX121)*$AW121)*$AZ121, 1.05))+$AS121</f>
        <v>72</v>
      </c>
      <c r="BB121">
        <f>INT(((Constants!$G$1+$AT121+$AU121+$AV121+$AX121)*(1/$AW121))*$AY121)+$AR121</f>
        <v>74</v>
      </c>
      <c r="BL121" t="str">
        <f>VLOOKUP(G121,Eras!$A$2:$C$10, 2, TRUE)</f>
        <v>big4</v>
      </c>
      <c r="BM121" t="s">
        <v>368</v>
      </c>
      <c r="BN121" t="str">
        <f>CONCATENATE(BL121,"_",BM121)</f>
        <v>big4_Cheap</v>
      </c>
      <c r="BO121" t="str">
        <f t="shared" si="4"/>
        <v/>
      </c>
      <c r="BP121" t="str">
        <f t="shared" si="5"/>
        <v/>
      </c>
      <c r="BQ121" t="s">
        <v>526</v>
      </c>
      <c r="BR121" t="str">
        <f t="shared" si="6"/>
        <v/>
      </c>
      <c r="BS121" t="str">
        <f t="shared" si="7"/>
        <v>{SILVER}The Q1 was designed for function over form and the most efficient possible use of materials.</v>
      </c>
    </row>
    <row r="122" spans="1:71" x14ac:dyDescent="0.25">
      <c r="A122" t="s">
        <v>529</v>
      </c>
      <c r="B122" t="s">
        <v>254</v>
      </c>
      <c r="C122">
        <v>260</v>
      </c>
      <c r="D122" t="s">
        <v>304</v>
      </c>
      <c r="E122" t="s">
        <v>313</v>
      </c>
      <c r="F122" t="s">
        <v>316</v>
      </c>
      <c r="G122">
        <v>1943</v>
      </c>
      <c r="H122">
        <v>1964</v>
      </c>
      <c r="I122">
        <v>1967</v>
      </c>
      <c r="K122">
        <v>500</v>
      </c>
      <c r="M122" s="6">
        <v>18</v>
      </c>
      <c r="N122" s="6">
        <v>26</v>
      </c>
      <c r="O122" s="6">
        <v>2</v>
      </c>
      <c r="P122" s="6">
        <v>170</v>
      </c>
      <c r="Q122" s="7">
        <f>((($Y122/2)/60)*5280)/($R122*3.2*PI())</f>
        <v>94.268697062122627</v>
      </c>
      <c r="R122" s="6">
        <v>1.3</v>
      </c>
      <c r="S122" s="6">
        <f>((($M122*$M122/4)*PI())*($N122/12)*$O122*$P122*$Q122)/(33000*1.1)</f>
        <v>486.8181818181817</v>
      </c>
      <c r="T122">
        <v>49</v>
      </c>
      <c r="W122">
        <v>106</v>
      </c>
      <c r="X122" s="4">
        <f>IF(AND(T122&gt;0,W122&gt;0),(W122/((T122+U122)*10)),"")</f>
        <v>0.21632653061224491</v>
      </c>
      <c r="Y122">
        <v>28</v>
      </c>
      <c r="Z122">
        <v>1</v>
      </c>
      <c r="AA122">
        <v>9.25</v>
      </c>
      <c r="AB122">
        <v>9.25</v>
      </c>
      <c r="AE122" s="11">
        <v>0</v>
      </c>
      <c r="AF122" t="str">
        <f>CONCATENATE(VLOOKUP(AG122, 'Voxel Sizes'!$A$2:$B$18,2,FALSE),"x",INT(AC122*15), "x", INT(AD122*15))</f>
        <v>82x0x0</v>
      </c>
      <c r="AG122">
        <f>ROUND(15*((AB122*10)/256),0)</f>
        <v>5</v>
      </c>
      <c r="AI122" t="str">
        <f>CONCATENATE(VLOOKUP(AG122,Constants!$A$2:$C$16,IF(AH122&lt;&gt;"", 3, 2), FALSE),IF(AH122&lt;&gt;"",CONCATENATE(",",VLOOKUP(AH122,$B:$AI,34,FALSE)),""))</f>
        <v>2,1,2</v>
      </c>
      <c r="AO122">
        <v>1</v>
      </c>
      <c r="AP122">
        <v>33</v>
      </c>
      <c r="AQ122">
        <f>IF(I122&lt;&gt;"",MAX(8,(I122-G122)-4),"")</f>
        <v>20</v>
      </c>
      <c r="AT122">
        <f>MIN(Y122/150, 1)*30</f>
        <v>5.6000000000000005</v>
      </c>
      <c r="AU122">
        <f>MIN(K122/4000, 1)*20</f>
        <v>2.5</v>
      </c>
      <c r="AV122">
        <f>MIN(W122/400,1)*20</f>
        <v>5.3000000000000007</v>
      </c>
      <c r="AW122" s="4">
        <v>1</v>
      </c>
      <c r="AX122">
        <f>((MAX($J122,1)*MIN($AE122/300,1)))*IF(D122="Wagon",50,10)</f>
        <v>0</v>
      </c>
      <c r="AY122">
        <f>VLOOKUP($E122,Constants!$I:$K, 2, FALSE)</f>
        <v>1.1499999999999999</v>
      </c>
      <c r="AZ122">
        <f>VLOOKUP($E122,Constants!$I:$K, 3, FALSE)*IF(AND(D122="multiple_unit",Y122&lt;110),0.75,1)</f>
        <v>1.7</v>
      </c>
      <c r="BA122">
        <f>INT(POWER(((Constants!$G$2+$AT122+$AU122+$AV122+$AX122)*$AW122)*$AZ122, 1.05))+$AS122</f>
        <v>37</v>
      </c>
      <c r="BB122">
        <f>INT(((Constants!$G$1+$AT122+$AU122+$AV122+$AX122)*(1/$AW122))*$AY122)+$AR122</f>
        <v>55</v>
      </c>
      <c r="BL122" t="str">
        <f>VLOOKUP(G122,Eras!$A$2:$C$10, 2, TRUE)</f>
        <v>big4</v>
      </c>
      <c r="BM122" t="s">
        <v>368</v>
      </c>
      <c r="BN122" t="str">
        <f>CONCATENATE(BL122,"_",BM122)</f>
        <v>big4_Cheap</v>
      </c>
      <c r="BO122" t="str">
        <f t="shared" si="4"/>
        <v/>
      </c>
      <c r="BP122" t="str">
        <f t="shared" si="5"/>
        <v/>
      </c>
      <c r="BQ122" t="s">
        <v>530</v>
      </c>
      <c r="BR122" t="str">
        <f t="shared" si="6"/>
        <v/>
      </c>
      <c r="BS122" t="str">
        <f t="shared" si="7"/>
        <v>{SILVER}Hunslet's Austerity was designed for shunting duties. It's powerful for its size with good adhesion, but does not run well at higher speeds.</v>
      </c>
    </row>
    <row r="123" spans="1:71" x14ac:dyDescent="0.25">
      <c r="A123" t="s">
        <v>39</v>
      </c>
      <c r="B123" t="s">
        <v>532</v>
      </c>
      <c r="C123">
        <v>262</v>
      </c>
      <c r="D123" t="s">
        <v>304</v>
      </c>
      <c r="E123" t="s">
        <v>313</v>
      </c>
      <c r="F123" t="s">
        <v>316</v>
      </c>
      <c r="G123">
        <v>1943</v>
      </c>
      <c r="H123">
        <v>1945</v>
      </c>
      <c r="I123">
        <v>1962</v>
      </c>
      <c r="K123">
        <v>1200</v>
      </c>
      <c r="M123" s="6">
        <v>19</v>
      </c>
      <c r="N123" s="6">
        <v>28</v>
      </c>
      <c r="O123" s="6">
        <v>2</v>
      </c>
      <c r="P123" s="6">
        <v>225</v>
      </c>
      <c r="Q123" s="7">
        <f>((($Y123/2)/60)*5280)/($R123*3.2*PI())</f>
        <v>212.58553112988881</v>
      </c>
      <c r="R123" s="6">
        <v>1.4</v>
      </c>
      <c r="S123" s="6">
        <f>((($M123*$M123/4)*PI())*($N123/12)*$O123*$P123*$Q123)/(33000*1.1)</f>
        <v>1743.4659090909092</v>
      </c>
      <c r="T123">
        <v>71.400000000000006</v>
      </c>
      <c r="U123" s="9">
        <v>56.4</v>
      </c>
      <c r="W123">
        <v>152</v>
      </c>
      <c r="X123" s="4">
        <f>IF(AND(T123&gt;0,W123&gt;0),(W123/((T123+U123)*10)),"")</f>
        <v>0.1189358372456964</v>
      </c>
      <c r="Y123">
        <v>68</v>
      </c>
      <c r="AA123">
        <v>19.350000000000001</v>
      </c>
      <c r="AB123">
        <v>11.7</v>
      </c>
      <c r="AE123" s="11">
        <v>0</v>
      </c>
      <c r="AF123" t="str">
        <f>CONCATENATE(VLOOKUP(AG123, 'Voxel Sizes'!$A$2:$B$18,2,FALSE),"x",INT(AC123*15), "x", INT(AD123*15))</f>
        <v>120x0x0</v>
      </c>
      <c r="AG123">
        <f>ROUND(15*((AB123*10)/256),0)</f>
        <v>7</v>
      </c>
      <c r="AH123" t="s">
        <v>534</v>
      </c>
      <c r="AI123" t="str">
        <f>CONCATENATE(VLOOKUP(AG123,Constants!$A$2:$C$16,IF(AH123&lt;&gt;"", 3, 2), FALSE),IF(AH123&lt;&gt;"",CONCATENATE(",",VLOOKUP(AH123,$B:$AI,34,FALSE)),""))</f>
        <v>2,3,2,1,2,1</v>
      </c>
      <c r="AO123">
        <v>1</v>
      </c>
      <c r="AP123">
        <v>36</v>
      </c>
      <c r="AQ123">
        <f>IF(I123&lt;&gt;"",MAX(8,(I123-G123)-4),"")</f>
        <v>15</v>
      </c>
      <c r="AT123">
        <f>MIN(Y123/150, 1)*30</f>
        <v>13.6</v>
      </c>
      <c r="AU123">
        <f>MIN(K123/4000, 1)*20</f>
        <v>6</v>
      </c>
      <c r="AV123">
        <f>MIN(W123/400,1)*20</f>
        <v>7.6</v>
      </c>
      <c r="AW123" s="4">
        <v>1</v>
      </c>
      <c r="AX123">
        <f>((MAX($J123,1)*MIN($AE123/300,1)))*IF(D123="Wagon",50,10)</f>
        <v>0</v>
      </c>
      <c r="AY123">
        <f>VLOOKUP($E123,Constants!$I:$K, 2, FALSE)</f>
        <v>1.1499999999999999</v>
      </c>
      <c r="AZ123">
        <f>VLOOKUP($E123,Constants!$I:$K, 3, FALSE)*IF(AND(D123="multiple_unit",Y123&lt;110),0.75,1)</f>
        <v>1.7</v>
      </c>
      <c r="BA123">
        <f>INT(POWER(((Constants!$G$2+$AT123+$AU123+$AV123+$AX123)*$AW123)*$AZ123, 1.05))+$AS123</f>
        <v>66</v>
      </c>
      <c r="BB123">
        <f>INT(((Constants!$G$1+$AT123+$AU123+$AV123+$AX123)*(1/$AW123))*$AY123)+$AR123</f>
        <v>71</v>
      </c>
      <c r="BL123" t="str">
        <f>VLOOKUP(G123,Eras!$A$2:$C$10, 2, TRUE)</f>
        <v>big4</v>
      </c>
      <c r="BM123" t="s">
        <v>371</v>
      </c>
      <c r="BN123" t="str">
        <f>CONCATENATE(BL123,"_",BM123)</f>
        <v>big4_Freight</v>
      </c>
      <c r="BO123" t="str">
        <f t="shared" si="4"/>
        <v/>
      </c>
      <c r="BP123" t="str">
        <f t="shared" si="5"/>
        <v/>
      </c>
      <c r="BQ123" t="s">
        <v>531</v>
      </c>
      <c r="BR123" t="str">
        <f t="shared" si="6"/>
        <v/>
      </c>
      <c r="BS123" t="str">
        <f t="shared" si="7"/>
        <v>{SILVER}Robert Riddles adapted the LMS 8F for low cost and simple construction, resulting in this "austerity" freight locomotive.</v>
      </c>
    </row>
    <row r="124" spans="1:71" x14ac:dyDescent="0.25">
      <c r="A124" t="s">
        <v>537</v>
      </c>
      <c r="B124" t="s">
        <v>278</v>
      </c>
      <c r="C124">
        <v>264</v>
      </c>
      <c r="D124" t="s">
        <v>304</v>
      </c>
      <c r="E124" t="s">
        <v>313</v>
      </c>
      <c r="F124" t="s">
        <v>316</v>
      </c>
      <c r="G124">
        <v>1944</v>
      </c>
      <c r="H124">
        <v>1950</v>
      </c>
      <c r="I124">
        <v>1965</v>
      </c>
      <c r="K124">
        <v>1700</v>
      </c>
      <c r="M124" s="6">
        <v>18.5</v>
      </c>
      <c r="N124" s="6">
        <v>30</v>
      </c>
      <c r="O124" s="6">
        <v>2</v>
      </c>
      <c r="P124" s="6">
        <v>225</v>
      </c>
      <c r="Q124" s="7">
        <f>((($Y124/2)/60)*5280)/($R124*3.2*PI())</f>
        <v>206.68037748739187</v>
      </c>
      <c r="R124" s="6">
        <v>1.8</v>
      </c>
      <c r="S124" s="6">
        <f>((($M124*$M124/4)*PI())*($N124/12)*$O124*$P124*$Q124)/(33000*1.1)</f>
        <v>1721.7832623106062</v>
      </c>
      <c r="T124">
        <v>77</v>
      </c>
      <c r="U124" s="9">
        <v>48</v>
      </c>
      <c r="W124">
        <v>121</v>
      </c>
      <c r="X124" s="4">
        <f>IF(AND(T124&gt;0,W124&gt;0),(W124/((T124+U124)*10)),"")</f>
        <v>9.6799999999999997E-2</v>
      </c>
      <c r="Y124">
        <v>85</v>
      </c>
      <c r="AA124">
        <v>19.2</v>
      </c>
      <c r="AB124">
        <v>11.7</v>
      </c>
      <c r="AD124">
        <v>4.01</v>
      </c>
      <c r="AE124" s="11">
        <v>0</v>
      </c>
      <c r="AF124" t="str">
        <f>CONCATENATE(VLOOKUP(AG124, 'Voxel Sizes'!$A$2:$B$18,2,FALSE),"x",INT(AC124*15), "x", INT(AD124*15))</f>
        <v>120x0x60</v>
      </c>
      <c r="AG124">
        <f>ROUND(15*((AB124*10)/256),0)</f>
        <v>7</v>
      </c>
      <c r="AH124" t="s">
        <v>472</v>
      </c>
      <c r="AI124" t="str">
        <f>CONCATENATE(VLOOKUP(AG124,Constants!$A$2:$C$16,IF(AH124&lt;&gt;"", 3, 2), FALSE),IF(AH124&lt;&gt;"",CONCATENATE(",",VLOOKUP(AH124,$B:$AI,34,FALSE)),""))</f>
        <v>2,3,2,2,1,2</v>
      </c>
      <c r="AN124" t="s">
        <v>483</v>
      </c>
      <c r="AO124">
        <v>1</v>
      </c>
      <c r="AP124">
        <v>41</v>
      </c>
      <c r="AQ124">
        <f>IF(I124&lt;&gt;"",MAX(8,(I124-G124)-4),"")</f>
        <v>17</v>
      </c>
      <c r="AT124">
        <f>MIN(Y124/150, 1)*30</f>
        <v>17</v>
      </c>
      <c r="AU124">
        <f>MIN(K124/4000, 1)*20</f>
        <v>8.5</v>
      </c>
      <c r="AV124">
        <f>MIN(W124/400,1)*20</f>
        <v>6.05</v>
      </c>
      <c r="AW124" s="4">
        <v>1</v>
      </c>
      <c r="AX124">
        <f>((MAX($J124,1)*MIN($AE124/300,1)))*IF(D124="Wagon",50,10)</f>
        <v>0</v>
      </c>
      <c r="AY124">
        <f>VLOOKUP($E124,Constants!$I:$K, 2, FALSE)</f>
        <v>1.1499999999999999</v>
      </c>
      <c r="AZ124">
        <f>VLOOKUP($E124,Constants!$I:$K, 3, FALSE)*IF(AND(D124="multiple_unit",Y124&lt;110),0.75,1)</f>
        <v>1.7</v>
      </c>
      <c r="BA124">
        <f>INT(POWER(((Constants!$G$2+$AT124+$AU124+$AV124+$AX124)*$AW124)*$AZ124, 1.05))+$AS124</f>
        <v>76</v>
      </c>
      <c r="BB124">
        <f>INT(((Constants!$G$1+$AT124+$AU124+$AV124+$AX124)*(1/$AW124))*$AY124)+$AR124</f>
        <v>76</v>
      </c>
      <c r="BL124" t="str">
        <f>VLOOKUP(G124,Eras!$A$2:$C$10, 2, TRUE)</f>
        <v>big4</v>
      </c>
      <c r="BM124" t="s">
        <v>369</v>
      </c>
      <c r="BN124" t="str">
        <f>CONCATENATE(BL124,"_",BM124)</f>
        <v>big4_Mixed Traffic</v>
      </c>
      <c r="BO124" t="str">
        <f t="shared" si="4"/>
        <v/>
      </c>
      <c r="BP124" t="str">
        <f t="shared" si="5"/>
        <v/>
      </c>
      <c r="BQ124" t="s">
        <v>536</v>
      </c>
      <c r="BR124" t="str">
        <f t="shared" si="6"/>
        <v/>
      </c>
      <c r="BS124" t="str">
        <f t="shared" si="7"/>
        <v>{SILVER}While externally identical to the original Hall class, the Modified Hall was completely new on the inside with many design innovations.</v>
      </c>
    </row>
    <row r="125" spans="1:71" x14ac:dyDescent="0.25">
      <c r="A125" t="s">
        <v>538</v>
      </c>
      <c r="B125" t="s">
        <v>539</v>
      </c>
      <c r="C125">
        <v>266</v>
      </c>
      <c r="D125" t="s">
        <v>304</v>
      </c>
      <c r="E125" t="s">
        <v>313</v>
      </c>
      <c r="F125" t="s">
        <v>316</v>
      </c>
      <c r="G125">
        <v>1945</v>
      </c>
      <c r="H125">
        <v>1947</v>
      </c>
      <c r="I125">
        <v>1964</v>
      </c>
      <c r="K125">
        <v>2200</v>
      </c>
      <c r="M125" s="6">
        <v>18.5</v>
      </c>
      <c r="N125" s="6">
        <v>30</v>
      </c>
      <c r="O125" s="6">
        <v>2</v>
      </c>
      <c r="P125" s="6">
        <v>280</v>
      </c>
      <c r="Q125" s="7">
        <f>((($Y125/2)/60)*5280)/($R125*3.2*PI())</f>
        <v>230.35583868563802</v>
      </c>
      <c r="R125" s="6">
        <v>1.9</v>
      </c>
      <c r="S125" s="6">
        <f>((($M125*$M125/4)*PI())*($N125/12)*$O125*$P125*$Q125)/(33000*1.1)</f>
        <v>2388.1080542264754</v>
      </c>
      <c r="T125">
        <v>78.099999999999994</v>
      </c>
      <c r="U125" s="9">
        <v>49.8</v>
      </c>
      <c r="W125">
        <v>145</v>
      </c>
      <c r="X125" s="4">
        <f>IF(AND(T125&gt;0,W125&gt;0),(W125/((T125+U125)*10)),"")</f>
        <v>0.11336982017200939</v>
      </c>
      <c r="Y125">
        <v>100</v>
      </c>
      <c r="AA125">
        <v>19.21</v>
      </c>
      <c r="AB125">
        <v>11.7</v>
      </c>
      <c r="AD125">
        <v>4.08</v>
      </c>
      <c r="AE125" s="11">
        <v>0</v>
      </c>
      <c r="AF125" t="str">
        <f>CONCATENATE(VLOOKUP(AG125, 'Voxel Sizes'!$A$2:$B$18,2,FALSE),"x",INT(AC125*15), "x", INT(AD125*15))</f>
        <v>120x0x61</v>
      </c>
      <c r="AG125">
        <f>ROUND(15*((AB125*10)/256),0)</f>
        <v>7</v>
      </c>
      <c r="AH125" t="s">
        <v>472</v>
      </c>
      <c r="AI125" t="str">
        <f>CONCATENATE(VLOOKUP(AG125,Constants!$A$2:$C$16,IF(AH125&lt;&gt;"", 3, 2), FALSE),IF(AH125&lt;&gt;"",CONCATENATE(",",VLOOKUP(AH125,$B:$AI,34,FALSE)),""))</f>
        <v>2,3,2,2,1,2</v>
      </c>
      <c r="AO125">
        <v>1</v>
      </c>
      <c r="AP125">
        <v>40</v>
      </c>
      <c r="AQ125">
        <f>IF(I125&lt;&gt;"",MAX(8,(I125-G125)-4),"")</f>
        <v>15</v>
      </c>
      <c r="AT125">
        <f>MIN(Y125/150, 1)*30</f>
        <v>20</v>
      </c>
      <c r="AU125">
        <f>MIN(K125/4000, 1)*20</f>
        <v>11</v>
      </c>
      <c r="AV125">
        <f>MIN(W125/400,1)*20</f>
        <v>7.25</v>
      </c>
      <c r="AW125" s="4">
        <v>1</v>
      </c>
      <c r="AX125">
        <f>((MAX($J125,1)*MIN($AE125/300,1)))*IF(D125="Wagon",50,10)</f>
        <v>0</v>
      </c>
      <c r="AY125">
        <f>VLOOKUP($E125,Constants!$I:$K, 2, FALSE)</f>
        <v>1.1499999999999999</v>
      </c>
      <c r="AZ125">
        <f>VLOOKUP($E125,Constants!$I:$K, 3, FALSE)*IF(AND(D125="multiple_unit",Y125&lt;110),0.75,1)</f>
        <v>1.7</v>
      </c>
      <c r="BA125">
        <f>INT(POWER(((Constants!$G$2+$AT125+$AU125+$AV125+$AX125)*$AW125)*$AZ125, 1.05))+$AS125</f>
        <v>91</v>
      </c>
      <c r="BB125">
        <f>INT(((Constants!$G$1+$AT125+$AU125+$AV125+$AX125)*(1/$AW125))*$AY125)+$AR125</f>
        <v>84</v>
      </c>
      <c r="BL125" t="str">
        <f>VLOOKUP(G125,Eras!$A$2:$C$10, 2, TRUE)</f>
        <v>big4</v>
      </c>
      <c r="BM125" t="s">
        <v>370</v>
      </c>
      <c r="BN125" t="str">
        <f>CONCATENATE(BL125,"_",BM125)</f>
        <v>big4_Express</v>
      </c>
      <c r="BO125" t="str">
        <f t="shared" si="4"/>
        <v/>
      </c>
      <c r="BP125" t="str">
        <f t="shared" si="5"/>
        <v/>
      </c>
      <c r="BQ125" t="s">
        <v>540</v>
      </c>
      <c r="BR125" t="str">
        <f t="shared" si="6"/>
        <v/>
      </c>
      <c r="BS125" t="str">
        <f t="shared" si="7"/>
        <v>{SILVER}The County Class was  Frederick Hawksworth's test of design ideas for a new Pacific. Sadly there was not enough demand for express steam locomotives in the late 1940s.</v>
      </c>
    </row>
    <row r="126" spans="1:71" x14ac:dyDescent="0.25">
      <c r="A126" t="s">
        <v>37</v>
      </c>
      <c r="B126" t="s">
        <v>542</v>
      </c>
      <c r="C126">
        <v>268</v>
      </c>
      <c r="D126" t="s">
        <v>304</v>
      </c>
      <c r="E126" t="s">
        <v>313</v>
      </c>
      <c r="F126" t="s">
        <v>316</v>
      </c>
      <c r="G126">
        <v>1945</v>
      </c>
      <c r="H126">
        <v>1951</v>
      </c>
      <c r="I126">
        <v>1967</v>
      </c>
      <c r="K126">
        <v>1800</v>
      </c>
      <c r="M126" s="6">
        <v>16.375</v>
      </c>
      <c r="N126" s="6">
        <v>24</v>
      </c>
      <c r="O126" s="6">
        <v>3</v>
      </c>
      <c r="P126" s="6">
        <v>280</v>
      </c>
      <c r="Q126" s="7">
        <f>((($Y126/2)/60)*5280)/($R126*3.2*PI())</f>
        <v>234.96295545935078</v>
      </c>
      <c r="R126" s="6">
        <v>1.9</v>
      </c>
      <c r="S126" s="6">
        <f>((($M126*$M126/4)*PI())*($N126/12)*$O126*$P126*$Q126)/(33000*1.1)</f>
        <v>2290.1005532296649</v>
      </c>
      <c r="T126">
        <v>87.4</v>
      </c>
      <c r="U126" s="9">
        <v>48</v>
      </c>
      <c r="W126">
        <v>138</v>
      </c>
      <c r="X126" s="4">
        <f>IF(AND(T126&gt;0,W126&gt;0),(W126/((T126+U126)*10)),"")</f>
        <v>0.10192023633677991</v>
      </c>
      <c r="Y126">
        <v>102</v>
      </c>
      <c r="AA126">
        <v>20.54</v>
      </c>
      <c r="AB126">
        <v>13</v>
      </c>
      <c r="AE126" s="11">
        <v>0</v>
      </c>
      <c r="AF126" t="str">
        <f>CONCATENATE(VLOOKUP(AG126, 'Voxel Sizes'!$A$2:$B$18,2,FALSE),"x",INT(AC126*15), "x", INT(AD126*15))</f>
        <v>136x0x0</v>
      </c>
      <c r="AG126">
        <f>ROUND(15*((AB126*10)/256),0)</f>
        <v>8</v>
      </c>
      <c r="AH126" t="s">
        <v>521</v>
      </c>
      <c r="AI126" t="str">
        <f>CONCATENATE(VLOOKUP(AG126,Constants!$A$2:$C$16,IF(AH126&lt;&gt;"", 3, 2), FALSE),IF(AH126&lt;&gt;"",CONCATENATE(",",VLOOKUP(AH126,$B:$AI,34,FALSE)),""))</f>
        <v>2,4,2,2,1,2</v>
      </c>
      <c r="AO126">
        <v>1</v>
      </c>
      <c r="AP126">
        <v>40</v>
      </c>
      <c r="AQ126">
        <f>IF(I126&lt;&gt;"",MAX(8,(I126-G126)-4),"")</f>
        <v>18</v>
      </c>
      <c r="AT126">
        <f>MIN(Y126/150, 1)*30</f>
        <v>20.400000000000002</v>
      </c>
      <c r="AU126">
        <f>MIN(K126/4000, 1)*20</f>
        <v>9</v>
      </c>
      <c r="AV126">
        <f>MIN(W126/400,1)*20</f>
        <v>6.8999999999999995</v>
      </c>
      <c r="AW126" s="4">
        <v>1</v>
      </c>
      <c r="AX126">
        <f>((MAX($J126,1)*MIN($AE126/300,1)))*IF(D126="Wagon",50,10)</f>
        <v>0</v>
      </c>
      <c r="AY126">
        <f>VLOOKUP($E126,Constants!$I:$K, 2, FALSE)</f>
        <v>1.1499999999999999</v>
      </c>
      <c r="AZ126">
        <f>VLOOKUP($E126,Constants!$I:$K, 3, FALSE)*IF(AND(D126="multiple_unit",Y126&lt;110),0.75,1)</f>
        <v>1.7</v>
      </c>
      <c r="BA126">
        <f>INT(POWER(((Constants!$G$2+$AT126+$AU126+$AV126+$AX126)*$AW126)*$AZ126, 1.05))+$AS126</f>
        <v>86</v>
      </c>
      <c r="BB126">
        <f>INT(((Constants!$G$1+$AT126+$AU126+$AV126+$AX126)*(1/$AW126))*$AY126)+$AR126</f>
        <v>81</v>
      </c>
      <c r="BL126" t="str">
        <f>VLOOKUP(G126,Eras!$A$2:$C$10, 2, TRUE)</f>
        <v>big4</v>
      </c>
      <c r="BM126" t="s">
        <v>369</v>
      </c>
      <c r="BN126" t="str">
        <f>CONCATENATE(BL126,"_",BM126)</f>
        <v>big4_Mixed Traffic</v>
      </c>
      <c r="BO126" t="str">
        <f t="shared" si="4"/>
        <v/>
      </c>
      <c r="BP126" t="str">
        <f t="shared" si="5"/>
        <v/>
      </c>
      <c r="BQ126" t="s">
        <v>541</v>
      </c>
      <c r="BR126" t="str">
        <f t="shared" si="6"/>
        <v/>
      </c>
      <c r="BS126" t="str">
        <f t="shared" si="7"/>
        <v>{SILVER}Bulleid's "Light Pacific" is a smaller and lighter version of the Merchant Navy, capable of operating on more routes.</v>
      </c>
    </row>
    <row r="127" spans="1:71" x14ac:dyDescent="0.25">
      <c r="A127" t="s">
        <v>41</v>
      </c>
      <c r="B127" t="s">
        <v>544</v>
      </c>
      <c r="C127">
        <v>270</v>
      </c>
      <c r="D127" t="s">
        <v>304</v>
      </c>
      <c r="E127" t="s">
        <v>313</v>
      </c>
      <c r="F127" t="s">
        <v>316</v>
      </c>
      <c r="G127">
        <v>1946</v>
      </c>
      <c r="H127">
        <v>1949</v>
      </c>
      <c r="I127">
        <v>1951</v>
      </c>
      <c r="K127">
        <v>1800</v>
      </c>
      <c r="M127" s="6">
        <v>12.25</v>
      </c>
      <c r="N127" s="6">
        <v>15</v>
      </c>
      <c r="O127" s="6">
        <v>6</v>
      </c>
      <c r="P127" s="6">
        <v>280</v>
      </c>
      <c r="Q127" s="7">
        <f>((($Y127/2)/60)*5280)/($R127*3.2*PI())</f>
        <v>262.60565610162729</v>
      </c>
      <c r="R127" s="6">
        <v>1.5</v>
      </c>
      <c r="S127" s="6">
        <f>((($M127*$M127/4)*PI())*($N127/12)*$O127*$P127*$Q127)/(33000*1.1)</f>
        <v>1790.518465909091</v>
      </c>
      <c r="T127">
        <v>152</v>
      </c>
      <c r="W127">
        <v>117</v>
      </c>
      <c r="X127" s="4">
        <f>IF(AND(T127&gt;0,W127&gt;0),(W127/((T127+U127)*10)),"")</f>
        <v>7.6973684210526319E-2</v>
      </c>
      <c r="Y127">
        <v>90</v>
      </c>
      <c r="Z127">
        <v>1</v>
      </c>
      <c r="AA127">
        <v>20.420000000000002</v>
      </c>
      <c r="AB127">
        <v>20.420000000000002</v>
      </c>
      <c r="AE127" s="11">
        <v>0</v>
      </c>
      <c r="AF127" t="str">
        <f>CONCATENATE(VLOOKUP(AG127, 'Voxel Sizes'!$A$2:$B$18,2,FALSE),"x",INT(AC127*15), "x", INT(AD127*15))</f>
        <v>198x0x0</v>
      </c>
      <c r="AG127">
        <f>ROUND(15*((AB127*10)/256),0)</f>
        <v>12</v>
      </c>
      <c r="AI127" t="str">
        <f>CONCATENATE(VLOOKUP(AG127,Constants!$A$2:$C$16,IF(AH127&lt;&gt;"", 3, 2), FALSE),IF(AH127&lt;&gt;"",CONCATENATE(",",VLOOKUP(AH127,$B:$AI,34,FALSE)),""))</f>
        <v>4,4,4</v>
      </c>
      <c r="AP127">
        <v>24</v>
      </c>
      <c r="AQ127">
        <f>IF(I127&lt;&gt;"",MAX(8,(I127-G127)-4),"")</f>
        <v>8</v>
      </c>
      <c r="AT127">
        <f>MIN(Y127/150, 1)*30</f>
        <v>18</v>
      </c>
      <c r="AU127">
        <f>MIN(K127/4000, 1)*20</f>
        <v>9</v>
      </c>
      <c r="AV127">
        <f>MIN(W127/400,1)*20</f>
        <v>5.85</v>
      </c>
      <c r="AW127" s="4">
        <v>1</v>
      </c>
      <c r="AX127">
        <f>((MAX($J127,1)*MIN($AE127/300,1)))*IF(D127="Wagon",50,10)</f>
        <v>0</v>
      </c>
      <c r="AY127">
        <f>VLOOKUP($E127,Constants!$I:$K, 2, FALSE)</f>
        <v>1.1499999999999999</v>
      </c>
      <c r="AZ127">
        <f>VLOOKUP($E127,Constants!$I:$K, 3, FALSE)*IF(AND(D127="multiple_unit",Y127&lt;110),0.75,1)</f>
        <v>1.7</v>
      </c>
      <c r="BA127">
        <f>INT(POWER(((Constants!$G$2+$AT127+$AU127+$AV127+$AX127)*$AW127)*$AZ127, 1.05))+$AS127</f>
        <v>79</v>
      </c>
      <c r="BB127">
        <f>INT(((Constants!$G$1+$AT127+$AU127+$AV127+$AX127)*(1/$AW127))*$AY127)+$AR127</f>
        <v>78</v>
      </c>
      <c r="BL127" t="str">
        <f>VLOOKUP(G127,Eras!$A$2:$C$10, 2, TRUE)</f>
        <v>big4</v>
      </c>
      <c r="BM127" t="s">
        <v>369</v>
      </c>
      <c r="BN127" t="str">
        <f>CONCATENATE(BL127,"_",BM127)</f>
        <v>big4_Mixed Traffic</v>
      </c>
      <c r="BO127" t="str">
        <f t="shared" si="4"/>
        <v/>
      </c>
      <c r="BP127" t="str">
        <f t="shared" si="5"/>
        <v/>
      </c>
      <c r="BQ127" t="s">
        <v>543</v>
      </c>
      <c r="BR127" t="str">
        <f t="shared" si="6"/>
        <v/>
      </c>
      <c r="BS127" t="str">
        <f t="shared" si="7"/>
        <v>{SILVER}The Leader was an attempt to make a steam locomotive as easy to operate as a diesel or electric. Complexity, poor reliability and uncomfortably hot cabs caused the project to be scrapped by 1951.</v>
      </c>
    </row>
    <row r="128" spans="1:71" x14ac:dyDescent="0.25">
      <c r="A128" t="s">
        <v>545</v>
      </c>
      <c r="B128" t="s">
        <v>546</v>
      </c>
      <c r="C128">
        <v>272</v>
      </c>
      <c r="D128" t="s">
        <v>304</v>
      </c>
      <c r="E128" t="s">
        <v>313</v>
      </c>
      <c r="F128" t="s">
        <v>316</v>
      </c>
      <c r="G128">
        <v>1946</v>
      </c>
      <c r="H128">
        <v>1953</v>
      </c>
      <c r="I128">
        <v>1967</v>
      </c>
      <c r="K128">
        <v>1000</v>
      </c>
      <c r="M128" s="6">
        <v>16</v>
      </c>
      <c r="N128" s="6">
        <v>24</v>
      </c>
      <c r="O128" s="6">
        <v>2</v>
      </c>
      <c r="P128" s="6">
        <v>200</v>
      </c>
      <c r="Q128" s="7">
        <f>((($Y128/2)/60)*5280)/($R128*3.2*PI())</f>
        <v>233.42724986811314</v>
      </c>
      <c r="R128" s="6">
        <v>1.5</v>
      </c>
      <c r="S128" s="6">
        <f>((($M128*$M128/4)*PI())*($N128/12)*$O128*$P128*$Q128)/(33000*1.1)</f>
        <v>1034.3434343434342</v>
      </c>
      <c r="T128">
        <v>47.9</v>
      </c>
      <c r="U128" s="9">
        <v>37.700000000000003</v>
      </c>
      <c r="W128">
        <v>77</v>
      </c>
      <c r="X128" s="4">
        <f>IF(AND(T128&gt;0,W128&gt;0),(W128/((T128+U128)*10)),"")</f>
        <v>8.9953271028037379E-2</v>
      </c>
      <c r="Y128">
        <v>80</v>
      </c>
      <c r="AA128">
        <v>16.2</v>
      </c>
      <c r="AB128">
        <f>AA128-6</f>
        <v>10.199999999999999</v>
      </c>
      <c r="AE128" s="11">
        <v>0</v>
      </c>
      <c r="AF128" t="str">
        <f>CONCATENATE(VLOOKUP(AG128, 'Voxel Sizes'!$A$2:$B$18,2,FALSE),"x",INT(AC128*15), "x", INT(AD128*15))</f>
        <v>102x0x0</v>
      </c>
      <c r="AG128">
        <f>ROUND(15*((AB128*10)/256),0)</f>
        <v>6</v>
      </c>
      <c r="AH128" t="s">
        <v>547</v>
      </c>
      <c r="AI128" t="str">
        <f>CONCATENATE(VLOOKUP(AG128,Constants!$A$2:$C$16,IF(AH128&lt;&gt;"", 3, 2), FALSE),IF(AH128&lt;&gt;"",CONCATENATE(",",VLOOKUP(AH128,$B:$AI,34,FALSE)),""))</f>
        <v>2,2,2,1,2,1</v>
      </c>
      <c r="AO128">
        <v>1</v>
      </c>
      <c r="AP128">
        <v>40</v>
      </c>
      <c r="AQ128">
        <f>IF(I128&lt;&gt;"",MAX(8,(I128-G128)-4),"")</f>
        <v>17</v>
      </c>
      <c r="AT128">
        <f>MIN(Y128/150, 1)*30</f>
        <v>16</v>
      </c>
      <c r="AU128">
        <f>MIN(K128/4000, 1)*20</f>
        <v>5</v>
      </c>
      <c r="AV128">
        <f>MIN(W128/400,1)*20</f>
        <v>3.85</v>
      </c>
      <c r="AW128" s="4">
        <v>1</v>
      </c>
      <c r="AX128">
        <f>((MAX($J128,1)*MIN($AE128/300,1)))*IF(D128="Wagon",50,10)</f>
        <v>0</v>
      </c>
      <c r="AY128">
        <f>VLOOKUP($E128,Constants!$I:$K, 2, FALSE)</f>
        <v>1.1499999999999999</v>
      </c>
      <c r="AZ128">
        <f>VLOOKUP($E128,Constants!$I:$K, 3, FALSE)*IF(AND(D128="multiple_unit",Y128&lt;110),0.75,1)</f>
        <v>1.7</v>
      </c>
      <c r="BA128">
        <f>INT(POWER(((Constants!$G$2+$AT128+$AU128+$AV128+$AX128)*$AW128)*$AZ128, 1.05))+$AS128</f>
        <v>61</v>
      </c>
      <c r="BB128">
        <f>INT(((Constants!$G$1+$AT128+$AU128+$AV128+$AX128)*(1/$AW128))*$AY128)+$AR128</f>
        <v>68</v>
      </c>
      <c r="BL128" t="str">
        <f>VLOOKUP(G128,Eras!$A$2:$C$10, 2, TRUE)</f>
        <v>big4</v>
      </c>
      <c r="BM128" t="s">
        <v>368</v>
      </c>
      <c r="BN128" t="str">
        <f>CONCATENATE(BL128,"_",BM128)</f>
        <v>big4_Cheap</v>
      </c>
      <c r="BO128" t="str">
        <f t="shared" si="4"/>
        <v/>
      </c>
      <c r="BP128" t="str">
        <f t="shared" si="5"/>
        <v/>
      </c>
      <c r="BQ128" t="s">
        <v>549</v>
      </c>
      <c r="BR128" t="str">
        <f t="shared" si="6"/>
        <v/>
      </c>
      <c r="BS128" t="str">
        <f t="shared" si="7"/>
        <v>{SILVER}The Ivatt Class 2 is a light, low-powered Mogul designed to replace the LMS fleet of 0-6-0 engines.</v>
      </c>
    </row>
    <row r="129" spans="1:71" x14ac:dyDescent="0.25">
      <c r="A129" t="s">
        <v>69</v>
      </c>
      <c r="B129" t="s">
        <v>196</v>
      </c>
      <c r="C129">
        <v>274</v>
      </c>
      <c r="D129" t="s">
        <v>304</v>
      </c>
      <c r="E129" t="s">
        <v>314</v>
      </c>
      <c r="F129" t="s">
        <v>316</v>
      </c>
      <c r="G129">
        <v>1947</v>
      </c>
      <c r="H129">
        <v>1948</v>
      </c>
      <c r="I129">
        <v>1966</v>
      </c>
      <c r="K129">
        <v>1600</v>
      </c>
      <c r="T129">
        <v>129.69999999999999</v>
      </c>
      <c r="W129">
        <v>184</v>
      </c>
      <c r="X129" s="4">
        <f>IF(AND(T129&gt;0,W129&gt;0),(W129/((T129+U129)*10)),"")</f>
        <v>0.14186584425597532</v>
      </c>
      <c r="Y129">
        <v>93</v>
      </c>
      <c r="AA129">
        <v>18.64</v>
      </c>
      <c r="AB129">
        <v>18.64</v>
      </c>
      <c r="AD129">
        <v>3.95</v>
      </c>
      <c r="AE129" s="11">
        <v>0</v>
      </c>
      <c r="AF129" t="str">
        <f>CONCATENATE(VLOOKUP(AG129, 'Voxel Sizes'!$A$2:$B$18,2,FALSE),"x",INT(AC129*15), "x", INT(AD129*15))</f>
        <v>186x0x59</v>
      </c>
      <c r="AG129">
        <f>ROUND(15*((AB129*10)/256),0)</f>
        <v>11</v>
      </c>
      <c r="AI129" t="str">
        <f>CONCATENATE(VLOOKUP(AG129,Constants!$A$2:$C$16,IF(AH129&lt;&gt;"", 3, 2), FALSE),IF(AH129&lt;&gt;"",CONCATENATE(",",VLOOKUP(AH129,$B:$AI,34,FALSE)),""))</f>
        <v>4,3,4</v>
      </c>
      <c r="AP129">
        <v>35</v>
      </c>
      <c r="AQ129">
        <f>IF(I129&lt;&gt;"",MAX(8,(I129-G129)-4),"")</f>
        <v>15</v>
      </c>
      <c r="AT129">
        <f>MIN(Y129/150, 1)*30</f>
        <v>18.600000000000001</v>
      </c>
      <c r="AU129">
        <f>MIN(K129/4000, 1)*20</f>
        <v>8</v>
      </c>
      <c r="AV129">
        <f>MIN(W129/400,1)*20</f>
        <v>9.2000000000000011</v>
      </c>
      <c r="AW129" s="4">
        <v>1</v>
      </c>
      <c r="AX129">
        <f>((MAX($J129,1)*MIN($AE129/300,1)))*IF(D129="Wagon",50,10)</f>
        <v>0</v>
      </c>
      <c r="AY129">
        <f>VLOOKUP($E129,Constants!$I:$K, 2, FALSE)</f>
        <v>1</v>
      </c>
      <c r="AZ129">
        <f>VLOOKUP($E129,Constants!$I:$K, 3, FALSE)*IF(AND(D129="multiple_unit",Y129&lt;110),0.75,1)</f>
        <v>2</v>
      </c>
      <c r="BA129">
        <f>INT(POWER(((Constants!$G$2+$AT129+$AU129+$AV129+$AX129)*$AW129)*$AZ129, 1.05))+$AS129</f>
        <v>101</v>
      </c>
      <c r="BB129">
        <f>INT(((Constants!$G$1+$AT129+$AU129+$AV129+$AX129)*(1/$AW129))*$AY129)+$AR129</f>
        <v>70</v>
      </c>
      <c r="BL129" t="str">
        <f>VLOOKUP(G129,Eras!$A$2:$C$10, 2, TRUE)</f>
        <v>big4</v>
      </c>
      <c r="BM129" t="s">
        <v>369</v>
      </c>
      <c r="BN129" t="str">
        <f>CONCATENATE(BL129,"_",BM129)</f>
        <v>big4_Mixed Traffic</v>
      </c>
      <c r="BO129" t="str">
        <f t="shared" si="4"/>
        <v/>
      </c>
      <c r="BP129" t="str">
        <f t="shared" si="5"/>
        <v/>
      </c>
      <c r="BQ129" t="s">
        <v>550</v>
      </c>
      <c r="BR129" t="str">
        <f t="shared" si="6"/>
        <v/>
      </c>
      <c r="BS129" t="str">
        <f t="shared" si="7"/>
        <v>{SILVER}The EE 10000 is the first mainline diesel locomotive built in the UK. Two were built for the LMS.</v>
      </c>
    </row>
    <row r="130" spans="1:71" x14ac:dyDescent="0.25">
      <c r="A130" t="s">
        <v>25</v>
      </c>
      <c r="B130" t="s">
        <v>552</v>
      </c>
      <c r="C130">
        <v>276</v>
      </c>
      <c r="D130" t="s">
        <v>304</v>
      </c>
      <c r="E130" t="s">
        <v>313</v>
      </c>
      <c r="F130" t="s">
        <v>316</v>
      </c>
      <c r="G130">
        <v>1948</v>
      </c>
      <c r="H130">
        <v>1949</v>
      </c>
      <c r="I130">
        <v>1966</v>
      </c>
      <c r="K130">
        <v>2700</v>
      </c>
      <c r="M130" s="6">
        <v>19</v>
      </c>
      <c r="N130" s="6">
        <v>26</v>
      </c>
      <c r="O130" s="6">
        <v>3</v>
      </c>
      <c r="P130" s="6">
        <v>250</v>
      </c>
      <c r="Q130" s="7">
        <f>((($Y130/2)/60)*5280)/($R130*3.2*PI())</f>
        <v>215.60398694714888</v>
      </c>
      <c r="R130" s="6">
        <v>2.0299999999999998</v>
      </c>
      <c r="S130" s="6">
        <f>((($M130*$M130/4)*PI())*($N130/12)*$O130*$P130*$Q130)/(33000*1.1)</f>
        <v>2736.5325048514705</v>
      </c>
      <c r="T130">
        <v>106.9</v>
      </c>
      <c r="U130" s="9">
        <v>61.9</v>
      </c>
      <c r="W130">
        <v>166</v>
      </c>
      <c r="X130" s="4">
        <f>IF(AND(T130&gt;0,W130&gt;0),(W130/((T130+U130)*10)),"")</f>
        <v>9.8341232227488154E-2</v>
      </c>
      <c r="Y130">
        <v>100</v>
      </c>
      <c r="AA130">
        <v>22.24</v>
      </c>
      <c r="AB130">
        <f>AA130-7.5</f>
        <v>14.739999999999998</v>
      </c>
      <c r="AD130">
        <v>3.99</v>
      </c>
      <c r="AE130" s="11">
        <v>0</v>
      </c>
      <c r="AF130" t="str">
        <f>CONCATENATE(VLOOKUP(AG130, 'Voxel Sizes'!$A$2:$B$18,2,FALSE),"x",INT(AC130*15), "x", INT(AD130*15))</f>
        <v>152x0x59</v>
      </c>
      <c r="AG130">
        <f>ROUND(15*((AB130*10)/256),0)</f>
        <v>9</v>
      </c>
      <c r="AH130" t="s">
        <v>487</v>
      </c>
      <c r="AI130" t="str">
        <f>CONCATENATE(VLOOKUP(AG130,Constants!$A$2:$C$16,IF(AH130&lt;&gt;"", 3, 2), FALSE),IF(AH130&lt;&gt;"",CONCATENATE(",",VLOOKUP(AH130,$B:$AI,34,FALSE)),""))</f>
        <v>2,5,2,2,1,2</v>
      </c>
      <c r="AO130">
        <v>1</v>
      </c>
      <c r="AP130">
        <v>42</v>
      </c>
      <c r="AQ130">
        <f>IF(I130&lt;&gt;"",MAX(8,(I130-G130)-4),"")</f>
        <v>14</v>
      </c>
      <c r="AT130">
        <f>MIN(Y130/150, 1)*30</f>
        <v>20</v>
      </c>
      <c r="AU130">
        <f>MIN(K130/4000, 1)*20</f>
        <v>13.5</v>
      </c>
      <c r="AV130">
        <f>MIN(W130/400,1)*20</f>
        <v>8.2999999999999989</v>
      </c>
      <c r="AW130" s="4">
        <v>1</v>
      </c>
      <c r="AX130">
        <f>((MAX($J130,1)*MIN($AE130/300,1)))*IF(D130="Wagon",50,10)</f>
        <v>0</v>
      </c>
      <c r="AY130">
        <f>VLOOKUP($E130,Constants!$I:$K, 2, FALSE)</f>
        <v>1.1499999999999999</v>
      </c>
      <c r="AZ130">
        <f>VLOOKUP($E130,Constants!$I:$K, 3, FALSE)*IF(AND(D130="multiple_unit",Y130&lt;110),0.75,1)</f>
        <v>1.7</v>
      </c>
      <c r="BA130">
        <f>INT(POWER(((Constants!$G$2+$AT130+$AU130+$AV130+$AX130)*$AW130)*$AZ130, 1.05))+$AS130</f>
        <v>99</v>
      </c>
      <c r="BB130">
        <f>INT(((Constants!$G$1+$AT130+$AU130+$AV130+$AX130)*(1/$AW130))*$AY130)+$AR130</f>
        <v>88</v>
      </c>
      <c r="BL130" t="str">
        <f>VLOOKUP(G130,Eras!$A$2:$C$10, 2, TRUE)</f>
        <v>ebr</v>
      </c>
      <c r="BM130" t="s">
        <v>370</v>
      </c>
      <c r="BN130" t="str">
        <f>CONCATENATE(BL130,"_",BM130)</f>
        <v>ebr_Express</v>
      </c>
      <c r="BO130" t="str">
        <f t="shared" si="4"/>
        <v/>
      </c>
      <c r="BP130" t="str">
        <f t="shared" si="5"/>
        <v/>
      </c>
      <c r="BQ130" t="s">
        <v>551</v>
      </c>
      <c r="BR130" t="str">
        <f t="shared" si="6"/>
        <v/>
      </c>
      <c r="BS130" t="str">
        <f t="shared" si="7"/>
        <v>{SILVER}The Peppercorn A1 is designed for hauling heavy passenger trains of 12 or more carriages. A continuation of the series, 'Tornado', was built in 2008.</v>
      </c>
    </row>
    <row r="131" spans="1:71" x14ac:dyDescent="0.25">
      <c r="A131" t="s">
        <v>73</v>
      </c>
      <c r="B131" t="s">
        <v>289</v>
      </c>
      <c r="C131">
        <v>278</v>
      </c>
      <c r="D131" t="s">
        <v>304</v>
      </c>
      <c r="E131" t="s">
        <v>338</v>
      </c>
      <c r="F131" t="s">
        <v>339</v>
      </c>
      <c r="G131">
        <v>1950</v>
      </c>
      <c r="H131">
        <v>1953</v>
      </c>
      <c r="I131">
        <v>1981</v>
      </c>
      <c r="K131">
        <v>1300</v>
      </c>
      <c r="T131">
        <v>89.3</v>
      </c>
      <c r="W131">
        <v>200</v>
      </c>
      <c r="X131" s="4">
        <f>IF(AND(T131&gt;0,W131&gt;0),(W131/((T131+U131)*10)),"")</f>
        <v>0.22396416573348266</v>
      </c>
      <c r="Y131">
        <v>65</v>
      </c>
      <c r="AA131">
        <v>15.34</v>
      </c>
      <c r="AB131">
        <v>15.34</v>
      </c>
      <c r="AE131" s="11">
        <v>0</v>
      </c>
      <c r="AF131" t="str">
        <f>CONCATENATE(VLOOKUP(AG131, 'Voxel Sizes'!$A$2:$B$18,2,FALSE),"x",INT(AC131*15), "x", INT(AD131*15))</f>
        <v>152x0x0</v>
      </c>
      <c r="AG131">
        <f>ROUND(15*((AB131*10)/256),0)</f>
        <v>9</v>
      </c>
      <c r="AI131" t="str">
        <f>CONCATENATE(VLOOKUP(AG131,Constants!$A$2:$C$16,IF(AH131&lt;&gt;"", 3, 2), FALSE),IF(AH131&lt;&gt;"",CONCATENATE(",",VLOOKUP(AH131,$B:$AI,34,FALSE)),""))</f>
        <v>2,5,2</v>
      </c>
      <c r="AP131">
        <v>40</v>
      </c>
      <c r="AQ131">
        <f>IF(I131&lt;&gt;"",MAX(8,(I131-G131)-4),"")</f>
        <v>27</v>
      </c>
      <c r="AT131">
        <f>MIN(Y131/150, 1)*30</f>
        <v>13</v>
      </c>
      <c r="AU131">
        <f>MIN(K131/4000, 1)*20</f>
        <v>6.5</v>
      </c>
      <c r="AV131">
        <f>MIN(W131/400,1)*20</f>
        <v>10</v>
      </c>
      <c r="AW131" s="4">
        <v>1</v>
      </c>
      <c r="AX131">
        <f>((MAX($J131,1)*MIN($AE131/300,1)))*IF(D131="Wagon",50,10)</f>
        <v>0</v>
      </c>
      <c r="AY131">
        <f>VLOOKUP($E131,Constants!$I:$K, 2, FALSE)</f>
        <v>0.85</v>
      </c>
      <c r="AZ131">
        <f>VLOOKUP($E131,Constants!$I:$K, 3, FALSE)*IF(AND(D131="multiple_unit",Y131&lt;110),0.75,1)</f>
        <v>2.2999999999999998</v>
      </c>
      <c r="BA131">
        <f>INT(POWER(((Constants!$G$2+$AT131+$AU131+$AV131+$AX131)*$AW131)*$AZ131, 1.05))+$AS131</f>
        <v>98</v>
      </c>
      <c r="BB131">
        <f>INT(((Constants!$G$1+$AT131+$AU131+$AV131+$AX131)*(1/$AW131))*$AY131)+$AR131</f>
        <v>54</v>
      </c>
      <c r="BL131" t="str">
        <f>VLOOKUP(G131,Eras!$A$2:$C$10, 2, TRUE)</f>
        <v>ebr</v>
      </c>
      <c r="BM131" t="s">
        <v>381</v>
      </c>
      <c r="BN131" t="str">
        <f>CONCATENATE(BL131,"_",BM131)</f>
        <v>ebr_Freight (Electric)</v>
      </c>
      <c r="BO131" t="str">
        <f t="shared" ref="BO131:BO194" si="8">IF(AND(BD131&lt;&gt;Y131,BD131&lt;&gt;""),_xlfn.CONCAT("{BLACK}","Tare speed: ","{GOLD}{VELOCITY}{}"), "")</f>
        <v/>
      </c>
      <c r="BP131" t="str">
        <f t="shared" ref="BP131:BP194" si="9">IF(J131&gt;1,_xlfn.CONCAT("{BLACK}Cars: {GOLD}", J131, "{}"),"")</f>
        <v/>
      </c>
      <c r="BQ131" t="s">
        <v>397</v>
      </c>
      <c r="BR131" t="str">
        <f t="shared" ref="BR131:BR194" si="10">IF(BK131="BRAKE","{GOLD}Speed bonus for some loaded wagons{}","")</f>
        <v/>
      </c>
      <c r="BS131" t="str">
        <f t="shared" ref="BS131:BS194" si="11">_xlfn.CONCAT(BO131,BP131,BR131,"{SILVER}", BQ131)</f>
        <v>{SILVER}The Class 76 is an electric freight locomotive designed for the Woodhead Line in the northern Peak District. With high tractive effort, electric traction lent itself to the steep gradients and many tunnels of the line.</v>
      </c>
    </row>
    <row r="132" spans="1:71" x14ac:dyDescent="0.25">
      <c r="A132" t="s">
        <v>561</v>
      </c>
      <c r="B132" t="s">
        <v>555</v>
      </c>
      <c r="C132">
        <v>280</v>
      </c>
      <c r="D132" t="s">
        <v>304</v>
      </c>
      <c r="E132" t="s">
        <v>313</v>
      </c>
      <c r="F132" t="s">
        <v>316</v>
      </c>
      <c r="G132">
        <v>1951</v>
      </c>
      <c r="H132">
        <v>1952</v>
      </c>
      <c r="I132">
        <v>1966</v>
      </c>
      <c r="K132">
        <v>1500</v>
      </c>
      <c r="M132" s="6">
        <v>19.5</v>
      </c>
      <c r="N132" s="6">
        <v>28</v>
      </c>
      <c r="O132" s="6">
        <v>2</v>
      </c>
      <c r="P132" s="6">
        <v>225</v>
      </c>
      <c r="Q132" s="7">
        <f>((($Y132/2)/60)*5280)/($R132*3.2*PI())</f>
        <v>184.28467094851041</v>
      </c>
      <c r="R132" s="6">
        <v>1.9</v>
      </c>
      <c r="S132" s="6">
        <f>((($M132*$M132/4)*PI())*($N132/12)*$O132*$P132*$Q132)/(33000*1.1)</f>
        <v>1591.9557416267944</v>
      </c>
      <c r="T132">
        <v>89.92</v>
      </c>
      <c r="U132" s="9">
        <v>14.38</v>
      </c>
      <c r="W132">
        <v>122</v>
      </c>
      <c r="X132" s="4">
        <f>IF(AND(T132&gt;0,W132&gt;0),(W132/((T132+U132)*10)),"")</f>
        <v>0.11697027804410355</v>
      </c>
      <c r="Y132">
        <v>80</v>
      </c>
      <c r="AA132">
        <v>20.96</v>
      </c>
      <c r="AB132">
        <f>AA132-7.5</f>
        <v>13.46</v>
      </c>
      <c r="AD132">
        <v>3.98</v>
      </c>
      <c r="AE132" s="11">
        <v>0</v>
      </c>
      <c r="AF132" t="str">
        <f>CONCATENATE(VLOOKUP(AG132, 'Voxel Sizes'!$A$2:$B$18,2,FALSE),"x",INT(AC132*15), "x", INT(AD132*15))</f>
        <v>136x0x59</v>
      </c>
      <c r="AG132">
        <f>ROUND(15*((AB132*10)/256),0)</f>
        <v>8</v>
      </c>
      <c r="AH132" t="s">
        <v>492</v>
      </c>
      <c r="AI132" t="str">
        <f>CONCATENATE(VLOOKUP(AG132,Constants!$A$2:$C$16,IF(AH132&lt;&gt;"", 3, 2), FALSE),IF(AH132&lt;&gt;"",CONCATENATE(",",VLOOKUP(AH132,$B:$AI,34,FALSE)),""))</f>
        <v>2,4,2,2,1,2</v>
      </c>
      <c r="AO132">
        <v>1</v>
      </c>
      <c r="AP132">
        <v>40</v>
      </c>
      <c r="AQ132">
        <f>IF(I132&lt;&gt;"",MAX(8,(I132-G132)-4),"")</f>
        <v>11</v>
      </c>
      <c r="AT132">
        <f>MIN(Y132/150, 1)*30</f>
        <v>16</v>
      </c>
      <c r="AU132">
        <f>MIN(K132/4000, 1)*20</f>
        <v>7.5</v>
      </c>
      <c r="AV132">
        <f>MIN(W132/400,1)*20</f>
        <v>6.1</v>
      </c>
      <c r="AW132" s="4">
        <v>1</v>
      </c>
      <c r="AX132">
        <f>((MAX($J132,1)*MIN($AE132/300,1)))*IF(D132="Wagon",50,10)</f>
        <v>0</v>
      </c>
      <c r="AY132">
        <f>VLOOKUP($E132,Constants!$I:$K, 2, FALSE)</f>
        <v>1.1499999999999999</v>
      </c>
      <c r="AZ132">
        <f>VLOOKUP($E132,Constants!$I:$K, 3, FALSE)*IF(AND(D132="multiple_unit",Y132&lt;110),0.75,1)</f>
        <v>1.7</v>
      </c>
      <c r="BA132">
        <f>INT(POWER(((Constants!$G$2+$AT132+$AU132+$AV132+$AX132)*$AW132)*$AZ132, 1.05))+$AS132</f>
        <v>72</v>
      </c>
      <c r="BB132">
        <f>INT(((Constants!$G$1+$AT132+$AU132+$AV132+$AX132)*(1/$AW132))*$AY132)+$AR132</f>
        <v>74</v>
      </c>
      <c r="BL132" t="str">
        <f>VLOOKUP(G132,Eras!$A$2:$C$10, 2, TRUE)</f>
        <v>ebr</v>
      </c>
      <c r="BM132" t="s">
        <v>369</v>
      </c>
      <c r="BN132" t="str">
        <f>CONCATENATE(BL132,"_",BM132)</f>
        <v>ebr_Mixed Traffic</v>
      </c>
      <c r="BO132" t="str">
        <f t="shared" si="8"/>
        <v/>
      </c>
      <c r="BP132" t="str">
        <f t="shared" si="9"/>
        <v/>
      </c>
      <c r="BQ132" t="s">
        <v>559</v>
      </c>
      <c r="BR132" t="str">
        <f t="shared" si="10"/>
        <v/>
      </c>
      <c r="BS132" t="str">
        <f t="shared" si="11"/>
        <v>{SILVER}The Class 6 is a lighter version of the Class 7 "Britannia", with a smaller boiler. Only 10 were produced due to steel shortages.</v>
      </c>
    </row>
    <row r="133" spans="1:71" x14ac:dyDescent="0.25">
      <c r="A133" t="s">
        <v>562</v>
      </c>
      <c r="B133" t="s">
        <v>556</v>
      </c>
      <c r="C133">
        <v>282</v>
      </c>
      <c r="D133" t="s">
        <v>304</v>
      </c>
      <c r="E133" t="s">
        <v>313</v>
      </c>
      <c r="F133" t="s">
        <v>316</v>
      </c>
      <c r="G133">
        <v>1951</v>
      </c>
      <c r="H133">
        <v>1954</v>
      </c>
      <c r="I133">
        <v>1968</v>
      </c>
      <c r="K133">
        <v>2000</v>
      </c>
      <c r="M133" s="6">
        <v>20</v>
      </c>
      <c r="N133" s="6">
        <v>28</v>
      </c>
      <c r="O133" s="6">
        <v>2</v>
      </c>
      <c r="P133" s="6">
        <v>250</v>
      </c>
      <c r="Q133" s="7">
        <f>((($Y133/2)/60)*5280)/($R133*3.2*PI())</f>
        <v>207.32025481707421</v>
      </c>
      <c r="R133" s="6">
        <v>1.9</v>
      </c>
      <c r="S133" s="6">
        <f>((($M133*$M133/4)*PI())*($N133/12)*$O133*$P133*$Q133)/(33000*1.1)</f>
        <v>2093.3014354066986</v>
      </c>
      <c r="T133">
        <v>95.5</v>
      </c>
      <c r="U133" s="9">
        <v>50</v>
      </c>
      <c r="W133">
        <v>143</v>
      </c>
      <c r="X133" s="4">
        <f>IF(AND(T133&gt;0,W133&gt;0),(W133/((T133+U133)*10)),"")</f>
        <v>9.8281786941580754E-2</v>
      </c>
      <c r="Y133">
        <v>90</v>
      </c>
      <c r="AA133">
        <v>20.96</v>
      </c>
      <c r="AB133">
        <f>AA133-7.5</f>
        <v>13.46</v>
      </c>
      <c r="AD133">
        <v>3.98</v>
      </c>
      <c r="AE133" s="11">
        <v>0</v>
      </c>
      <c r="AF133" t="str">
        <f>CONCATENATE(VLOOKUP(AG133, 'Voxel Sizes'!$A$2:$B$18,2,FALSE),"x",INT(AC133*15), "x", INT(AD133*15))</f>
        <v>136x0x59</v>
      </c>
      <c r="AG133">
        <f>ROUND(15*((AB133*10)/256),0)</f>
        <v>8</v>
      </c>
      <c r="AH133" t="s">
        <v>492</v>
      </c>
      <c r="AI133" t="str">
        <f>CONCATENATE(VLOOKUP(AG133,Constants!$A$2:$C$16,IF(AH133&lt;&gt;"", 3, 2), FALSE),IF(AH133&lt;&gt;"",CONCATENATE(",",VLOOKUP(AH133,$B:$AI,34,FALSE)),""))</f>
        <v>2,4,2,2,1,2</v>
      </c>
      <c r="AO133">
        <v>1</v>
      </c>
      <c r="AP133">
        <v>40</v>
      </c>
      <c r="AQ133">
        <f>IF(I133&lt;&gt;"",MAX(8,(I133-G133)-4),"")</f>
        <v>13</v>
      </c>
      <c r="AT133">
        <f>MIN(Y133/150, 1)*30</f>
        <v>18</v>
      </c>
      <c r="AU133">
        <f>MIN(K133/4000, 1)*20</f>
        <v>10</v>
      </c>
      <c r="AV133">
        <f>MIN(W133/400,1)*20</f>
        <v>7.1499999999999995</v>
      </c>
      <c r="AW133" s="4">
        <v>1</v>
      </c>
      <c r="AX133">
        <f>((MAX($J133,1)*MIN($AE133/300,1)))*IF(D133="Wagon",50,10)</f>
        <v>0</v>
      </c>
      <c r="AY133">
        <f>VLOOKUP($E133,Constants!$I:$K, 2, FALSE)</f>
        <v>1.1499999999999999</v>
      </c>
      <c r="AZ133">
        <f>VLOOKUP($E133,Constants!$I:$K, 3, FALSE)*IF(AND(D133="multiple_unit",Y133&lt;110),0.75,1)</f>
        <v>1.7</v>
      </c>
      <c r="BA133">
        <f>INT(POWER(((Constants!$G$2+$AT133+$AU133+$AV133+$AX133)*$AW133)*$AZ133, 1.05))+$AS133</f>
        <v>84</v>
      </c>
      <c r="BB133">
        <f>INT(((Constants!$G$1+$AT133+$AU133+$AV133+$AX133)*(1/$AW133))*$AY133)+$AR133</f>
        <v>80</v>
      </c>
      <c r="BL133" t="str">
        <f>VLOOKUP(G133,Eras!$A$2:$C$10, 2, TRUE)</f>
        <v>ebr</v>
      </c>
      <c r="BM133" t="s">
        <v>369</v>
      </c>
      <c r="BN133" t="str">
        <f>CONCATENATE(BL133,"_",BM133)</f>
        <v>ebr_Mixed Traffic</v>
      </c>
      <c r="BO133" t="str">
        <f t="shared" si="8"/>
        <v/>
      </c>
      <c r="BP133" t="str">
        <f t="shared" si="9"/>
        <v/>
      </c>
      <c r="BQ133" t="s">
        <v>558</v>
      </c>
      <c r="BR133" t="str">
        <f t="shared" si="10"/>
        <v/>
      </c>
      <c r="BS133" t="str">
        <f t="shared" si="11"/>
        <v>{SILVER}The Class 7 combines the best features of pre-BR designs from the Big Four, with the aim of reducing maintenance costs.</v>
      </c>
    </row>
    <row r="134" spans="1:71" x14ac:dyDescent="0.25">
      <c r="A134" t="s">
        <v>77</v>
      </c>
      <c r="B134" t="s">
        <v>197</v>
      </c>
      <c r="C134">
        <v>284</v>
      </c>
      <c r="D134" t="s">
        <v>304</v>
      </c>
      <c r="E134" t="s">
        <v>314</v>
      </c>
      <c r="F134" t="s">
        <v>316</v>
      </c>
      <c r="G134">
        <v>1952</v>
      </c>
      <c r="H134">
        <v>1962</v>
      </c>
      <c r="K134">
        <v>350</v>
      </c>
      <c r="T134">
        <v>49.8</v>
      </c>
      <c r="W134">
        <v>160</v>
      </c>
      <c r="X134" s="4">
        <f>IF(AND(T134&gt;0,W134&gt;0),(W134/((T134+U134)*10)),"")</f>
        <v>0.32128514056224899</v>
      </c>
      <c r="Y134">
        <v>20</v>
      </c>
      <c r="AA134">
        <v>8.92</v>
      </c>
      <c r="AB134">
        <v>9.5</v>
      </c>
      <c r="AC134">
        <v>2.59</v>
      </c>
      <c r="AD134">
        <v>3.87</v>
      </c>
      <c r="AE134" s="11">
        <v>0</v>
      </c>
      <c r="AF134" t="str">
        <f>CONCATENATE(VLOOKUP(AG134, 'Voxel Sizes'!$A$2:$B$18,2,FALSE),"x",INT(AC134*15), "x", INT(AD134*15))</f>
        <v>102x38x58</v>
      </c>
      <c r="AG134">
        <f>ROUND(15*((AB134*10)/256),0)</f>
        <v>6</v>
      </c>
      <c r="AI134" t="str">
        <f>CONCATENATE(VLOOKUP(AG134,Constants!$A$2:$C$16,IF(AH134&lt;&gt;"", 3, 2), FALSE),IF(AH134&lt;&gt;"",CONCATENATE(",",VLOOKUP(AH134,$B:$AI,34,FALSE)),""))</f>
        <v>2,2,2</v>
      </c>
      <c r="AO134">
        <v>1</v>
      </c>
      <c r="AP134">
        <v>52</v>
      </c>
      <c r="AQ134" t="str">
        <f>IF(I134&lt;&gt;"",MAX(8,(I134-G134)-4),"")</f>
        <v/>
      </c>
      <c r="AT134">
        <f>MIN(Y134/150, 1)*30</f>
        <v>4</v>
      </c>
      <c r="AU134">
        <f>MIN(K134/4000, 1)*20</f>
        <v>1.75</v>
      </c>
      <c r="AV134">
        <f>MIN(W134/400,1)*20</f>
        <v>8</v>
      </c>
      <c r="AW134" s="4">
        <v>1</v>
      </c>
      <c r="AX134">
        <f>((MAX($J134,1)*MIN($AE134/300,1)))*IF(D134="Wagon",50,10)</f>
        <v>0</v>
      </c>
      <c r="AY134">
        <f>VLOOKUP($E134,Constants!$I:$K, 2, FALSE)</f>
        <v>1</v>
      </c>
      <c r="AZ134">
        <f>VLOOKUP($E134,Constants!$I:$K, 3, FALSE)*IF(AND(D134="multiple_unit",Y134&lt;110),0.75,1)</f>
        <v>2</v>
      </c>
      <c r="BA134">
        <f>INT(POWER(((Constants!$G$2+$AT134+$AU134+$AV134+$AX134)*$AW134)*$AZ134, 1.05))+$AS134</f>
        <v>44</v>
      </c>
      <c r="BB134">
        <f>INT(((Constants!$G$1+$AT134+$AU134+$AV134+$AX134)*(1/$AW134))*$AY134)+$AR134</f>
        <v>48</v>
      </c>
      <c r="BL134" t="str">
        <f>VLOOKUP(G134,Eras!$A$2:$C$10, 2, TRUE)</f>
        <v>ebr</v>
      </c>
      <c r="BM134" t="s">
        <v>368</v>
      </c>
      <c r="BN134" t="str">
        <f>CONCATENATE(BL134,"_",BM134)</f>
        <v>ebr_Cheap</v>
      </c>
      <c r="BO134" t="str">
        <f t="shared" si="8"/>
        <v/>
      </c>
      <c r="BP134" t="str">
        <f t="shared" si="9"/>
        <v/>
      </c>
      <c r="BQ134" t="s">
        <v>398</v>
      </c>
      <c r="BR134" t="str">
        <f t="shared" si="10"/>
        <v/>
      </c>
      <c r="BS134" t="str">
        <f t="shared" si="11"/>
        <v>{SILVER}The Class 08 is a diesel-electric shunter that was common across the UK when freight trains were assembled by shunting different consists of wagons. Although slow its low cost and high tractive effort make it a good option for short industrial lines.</v>
      </c>
    </row>
    <row r="135" spans="1:71" x14ac:dyDescent="0.25">
      <c r="A135" t="s">
        <v>74</v>
      </c>
      <c r="B135" t="s">
        <v>290</v>
      </c>
      <c r="C135">
        <v>286</v>
      </c>
      <c r="D135" t="s">
        <v>304</v>
      </c>
      <c r="E135" t="s">
        <v>338</v>
      </c>
      <c r="F135" t="s">
        <v>339</v>
      </c>
      <c r="G135">
        <v>1953</v>
      </c>
      <c r="H135">
        <v>1954</v>
      </c>
      <c r="I135">
        <v>1968</v>
      </c>
      <c r="K135">
        <v>2490</v>
      </c>
      <c r="T135">
        <v>104.1</v>
      </c>
      <c r="W135">
        <v>200</v>
      </c>
      <c r="X135" s="4">
        <f>IF(AND(T135&gt;0,W135&gt;0),(W135/((T135+U135)*10)),"")</f>
        <v>0.19212295869356388</v>
      </c>
      <c r="Y135">
        <v>90</v>
      </c>
      <c r="AA135">
        <v>17.98</v>
      </c>
      <c r="AB135">
        <v>17.98</v>
      </c>
      <c r="AE135" s="11">
        <v>0</v>
      </c>
      <c r="AF135" t="str">
        <f>CONCATENATE(VLOOKUP(AG135, 'Voxel Sizes'!$A$2:$B$18,2,FALSE),"x",INT(AC135*15), "x", INT(AD135*15))</f>
        <v>186x0x0</v>
      </c>
      <c r="AG135">
        <f>ROUND(15*((AB135*10)/256),0)</f>
        <v>11</v>
      </c>
      <c r="AI135" t="str">
        <f>CONCATENATE(VLOOKUP(AG135,Constants!$A$2:$C$16,IF(AH135&lt;&gt;"", 3, 2), FALSE),IF(AH135&lt;&gt;"",CONCATENATE(",",VLOOKUP(AH135,$B:$AI,34,FALSE)),""))</f>
        <v>4,3,4</v>
      </c>
      <c r="AP135">
        <v>40</v>
      </c>
      <c r="AQ135">
        <f>IF(I135&lt;&gt;"",MAX(8,(I135-G135)-4),"")</f>
        <v>11</v>
      </c>
      <c r="AT135">
        <f>MIN(Y135/150, 1)*30</f>
        <v>18</v>
      </c>
      <c r="AU135">
        <f>MIN(K135/4000, 1)*20</f>
        <v>12.450000000000001</v>
      </c>
      <c r="AV135">
        <f>MIN(W135/400,1)*20</f>
        <v>10</v>
      </c>
      <c r="AW135" s="4">
        <v>1</v>
      </c>
      <c r="AX135">
        <f>((MAX($J135,1)*MIN($AE135/300,1)))*IF(D135="Wagon",50,10)</f>
        <v>0</v>
      </c>
      <c r="AY135">
        <f>VLOOKUP($E135,Constants!$I:$K, 2, FALSE)</f>
        <v>0.85</v>
      </c>
      <c r="AZ135">
        <f>VLOOKUP($E135,Constants!$I:$K, 3, FALSE)*IF(AND(D135="multiple_unit",Y135&lt;110),0.75,1)</f>
        <v>2.2999999999999998</v>
      </c>
      <c r="BA135">
        <f>INT(POWER(((Constants!$G$2+$AT135+$AU135+$AV135+$AX135)*$AW135)*$AZ135, 1.05))+$AS135</f>
        <v>131</v>
      </c>
      <c r="BB135">
        <f>INT(((Constants!$G$1+$AT135+$AU135+$AV135+$AX135)*(1/$AW135))*$AY135)+$AR135</f>
        <v>64</v>
      </c>
      <c r="BL135" t="str">
        <f>VLOOKUP(G135,Eras!$A$2:$C$10, 2, TRUE)</f>
        <v>ebr</v>
      </c>
      <c r="BM135" t="s">
        <v>380</v>
      </c>
      <c r="BN135" t="str">
        <f>CONCATENATE(BL135,"_",BM135)</f>
        <v>ebr_Express (Electric)</v>
      </c>
      <c r="BO135" t="str">
        <f t="shared" si="8"/>
        <v/>
      </c>
      <c r="BP135" t="str">
        <f t="shared" si="9"/>
        <v/>
      </c>
      <c r="BQ135" t="s">
        <v>560</v>
      </c>
      <c r="BR135" t="str">
        <f t="shared" si="10"/>
        <v/>
      </c>
      <c r="BS135" t="str">
        <f t="shared" si="11"/>
        <v>{SILVER}The Class 77  is a larger version of the earlier Class 76, designed to haul passenger services on the Woodhead Line.</v>
      </c>
    </row>
    <row r="136" spans="1:71" x14ac:dyDescent="0.25">
      <c r="A136" t="s">
        <v>554</v>
      </c>
      <c r="B136" t="s">
        <v>557</v>
      </c>
      <c r="C136">
        <v>288</v>
      </c>
      <c r="D136" t="s">
        <v>304</v>
      </c>
      <c r="E136" t="s">
        <v>313</v>
      </c>
      <c r="F136" t="s">
        <v>316</v>
      </c>
      <c r="G136">
        <v>1954</v>
      </c>
      <c r="H136">
        <v>1960</v>
      </c>
      <c r="I136">
        <v>1968</v>
      </c>
      <c r="K136">
        <v>2500</v>
      </c>
      <c r="M136" s="6">
        <v>20</v>
      </c>
      <c r="N136" s="6">
        <v>28</v>
      </c>
      <c r="O136" s="6">
        <v>2</v>
      </c>
      <c r="P136" s="6">
        <v>250</v>
      </c>
      <c r="Q136" s="7">
        <f>((($Y136/2)/60)*5280)/($R136*3.2*PI())</f>
        <v>262.60565610162729</v>
      </c>
      <c r="R136" s="6">
        <v>1.5</v>
      </c>
      <c r="S136" s="6">
        <f>((($M136*$M136/4)*PI())*($N136/12)*$O136*$P136*$Q136)/(33000*1.1)</f>
        <v>2651.515151515151</v>
      </c>
      <c r="T136">
        <v>90</v>
      </c>
      <c r="U136" s="9">
        <v>51</v>
      </c>
      <c r="W136">
        <v>176</v>
      </c>
      <c r="X136" s="4">
        <f>IF(AND(T136&gt;0,W136&gt;0),(W136/((T136+U136)*10)),"")</f>
        <v>0.12482269503546099</v>
      </c>
      <c r="Y136">
        <v>90</v>
      </c>
      <c r="AA136">
        <v>20.170000000000002</v>
      </c>
      <c r="AB136">
        <v>15</v>
      </c>
      <c r="AE136" s="11">
        <v>0</v>
      </c>
      <c r="AF136" t="str">
        <f>CONCATENATE(VLOOKUP(AG136, 'Voxel Sizes'!$A$2:$B$18,2,FALSE),"x",INT(AC136*15), "x", INT(AD136*15))</f>
        <v>152x0x0</v>
      </c>
      <c r="AG136">
        <f>ROUND(15*((AB136*10)/256),0)</f>
        <v>9</v>
      </c>
      <c r="AH136" t="s">
        <v>492</v>
      </c>
      <c r="AI136" t="str">
        <f>CONCATENATE(VLOOKUP(AG136,Constants!$A$2:$C$16,IF(AH136&lt;&gt;"", 3, 2), FALSE),IF(AH136&lt;&gt;"",CONCATENATE(",",VLOOKUP(AH136,$B:$AI,34,FALSE)),""))</f>
        <v>2,5,2,2,1,2</v>
      </c>
      <c r="AO136">
        <v>1</v>
      </c>
      <c r="AP136">
        <v>40</v>
      </c>
      <c r="AQ136">
        <f>IF(I136&lt;&gt;"",MAX(8,(I136-G136)-4),"")</f>
        <v>10</v>
      </c>
      <c r="AT136">
        <f>MIN(Y136/150, 1)*30</f>
        <v>18</v>
      </c>
      <c r="AU136">
        <f>MIN(K136/4000, 1)*20</f>
        <v>12.5</v>
      </c>
      <c r="AV136">
        <f>MIN(W136/400,1)*20</f>
        <v>8.8000000000000007</v>
      </c>
      <c r="AW136" s="4">
        <v>1</v>
      </c>
      <c r="AX136">
        <f>((MAX($J136,1)*MIN($AE136/300,1)))*IF(D136="Wagon",50,10)</f>
        <v>0</v>
      </c>
      <c r="AY136">
        <f>VLOOKUP($E136,Constants!$I:$K, 2, FALSE)</f>
        <v>1.1499999999999999</v>
      </c>
      <c r="AZ136">
        <f>VLOOKUP($E136,Constants!$I:$K, 3, FALSE)*IF(AND(D136="multiple_unit",Y136&lt;110),0.75,1)</f>
        <v>1.7</v>
      </c>
      <c r="BA136">
        <f>INT(POWER(((Constants!$G$2+$AT136+$AU136+$AV136+$AX136)*$AW136)*$AZ136, 1.05))+$AS136</f>
        <v>93</v>
      </c>
      <c r="BB136">
        <f>INT(((Constants!$G$1+$AT136+$AU136+$AV136+$AX136)*(1/$AW136))*$AY136)+$AR136</f>
        <v>85</v>
      </c>
      <c r="BL136" t="str">
        <f>VLOOKUP(G136,Eras!$A$2:$C$10, 2, TRUE)</f>
        <v>ebr</v>
      </c>
      <c r="BM136" t="s">
        <v>371</v>
      </c>
      <c r="BN136" t="str">
        <f>CONCATENATE(BL136,"_",BM136)</f>
        <v>ebr_Freight</v>
      </c>
      <c r="BO136" t="str">
        <f t="shared" si="8"/>
        <v/>
      </c>
      <c r="BP136" t="str">
        <f t="shared" si="9"/>
        <v/>
      </c>
      <c r="BQ136" t="s">
        <v>563</v>
      </c>
      <c r="BR136" t="str">
        <f t="shared" si="10"/>
        <v/>
      </c>
      <c r="BS136" t="str">
        <f t="shared" si="11"/>
        <v>{SILVER}The 9F class included the last steam locomotive ever to be built by British Railways, "Evening Star"</v>
      </c>
    </row>
    <row r="137" spans="1:71" x14ac:dyDescent="0.25">
      <c r="A137" t="s">
        <v>49</v>
      </c>
      <c r="B137" t="s">
        <v>309</v>
      </c>
      <c r="C137">
        <v>290</v>
      </c>
      <c r="D137" t="s">
        <v>304</v>
      </c>
      <c r="E137" t="s">
        <v>314</v>
      </c>
      <c r="F137" t="s">
        <v>316</v>
      </c>
      <c r="G137">
        <v>1955</v>
      </c>
      <c r="H137">
        <v>1962</v>
      </c>
      <c r="I137">
        <v>1982</v>
      </c>
      <c r="K137">
        <v>3300</v>
      </c>
      <c r="T137">
        <v>108</v>
      </c>
      <c r="W137">
        <v>233</v>
      </c>
      <c r="X137" s="4">
        <f>IF(AND(T137&gt;0,W137&gt;0),(W137/((T137+U137)*10)),"")</f>
        <v>0.21574074074074073</v>
      </c>
      <c r="Y137">
        <v>106</v>
      </c>
      <c r="AA137">
        <v>21.18</v>
      </c>
      <c r="AB137">
        <v>21.18</v>
      </c>
      <c r="AD137">
        <v>3.91</v>
      </c>
      <c r="AE137" s="11">
        <v>0</v>
      </c>
      <c r="AF137" t="str">
        <f>CONCATENATE(VLOOKUP(AG137, 'Voxel Sizes'!$A$2:$B$18,2,FALSE),"x",INT(AC137*15), "x", INT(AD137*15))</f>
        <v>198x0x58</v>
      </c>
      <c r="AG137">
        <f>ROUND(15*((AB137*10)/256),0)</f>
        <v>12</v>
      </c>
      <c r="AI137" t="str">
        <f>CONCATENATE(VLOOKUP(AG137,Constants!$A$2:$C$16,IF(AH137&lt;&gt;"", 3, 2), FALSE),IF(AH137&lt;&gt;"",CONCATENATE(",",VLOOKUP(AH137,$B:$AI,34,FALSE)),""))</f>
        <v>4,4,4</v>
      </c>
      <c r="AP137">
        <v>36</v>
      </c>
      <c r="AQ137">
        <f>IF(I137&lt;&gt;"",MAX(8,(I137-G137)-4),"")</f>
        <v>23</v>
      </c>
      <c r="AT137">
        <f>MIN(Y137/150, 1)*30</f>
        <v>21.2</v>
      </c>
      <c r="AU137">
        <f>MIN(K137/4000, 1)*20</f>
        <v>16.5</v>
      </c>
      <c r="AV137">
        <f>MIN(W137/400,1)*20</f>
        <v>11.65</v>
      </c>
      <c r="AW137" s="4">
        <v>1</v>
      </c>
      <c r="AX137">
        <f>((MAX($J137,1)*MIN($AE137/300,1)))*IF(D137="Wagon",50,10)</f>
        <v>0</v>
      </c>
      <c r="AY137">
        <f>VLOOKUP($E137,Constants!$I:$K, 2, FALSE)</f>
        <v>1</v>
      </c>
      <c r="AZ137">
        <f>VLOOKUP($E137,Constants!$I:$K, 3, FALSE)*IF(AND(D137="multiple_unit",Y137&lt;110),0.75,1)</f>
        <v>2</v>
      </c>
      <c r="BA137">
        <f>INT(POWER(((Constants!$G$2+$AT137+$AU137+$AV137+$AX137)*$AW137)*$AZ137, 1.05))+$AS137</f>
        <v>137</v>
      </c>
      <c r="BB137">
        <f>INT(((Constants!$G$1+$AT137+$AU137+$AV137+$AX137)*(1/$AW137))*$AY137)+$AR137</f>
        <v>84</v>
      </c>
      <c r="BL137" t="str">
        <f>VLOOKUP(G137,Eras!$A$2:$C$10, 2, TRUE)</f>
        <v>dsl</v>
      </c>
      <c r="BM137" t="s">
        <v>370</v>
      </c>
      <c r="BN137" t="str">
        <f>CONCATENATE(BL137,"_",BM137)</f>
        <v>dsl_Express</v>
      </c>
      <c r="BO137" t="str">
        <f t="shared" si="8"/>
        <v/>
      </c>
      <c r="BP137" t="str">
        <f t="shared" si="9"/>
        <v/>
      </c>
      <c r="BQ137" t="s">
        <v>564</v>
      </c>
      <c r="BR137" t="str">
        <f t="shared" si="10"/>
        <v/>
      </c>
      <c r="BS137" t="str">
        <f t="shared" si="11"/>
        <v>{SILVER}The Class 55 uses two Napier Deltic marine engines to create a high speed express diesel locomotive.</v>
      </c>
    </row>
    <row r="138" spans="1:71" x14ac:dyDescent="0.25">
      <c r="A138" t="s">
        <v>82</v>
      </c>
      <c r="B138" t="s">
        <v>274</v>
      </c>
      <c r="C138">
        <v>292</v>
      </c>
      <c r="D138" t="s">
        <v>455</v>
      </c>
      <c r="E138" t="s">
        <v>314</v>
      </c>
      <c r="F138" t="s">
        <v>316</v>
      </c>
      <c r="G138">
        <v>1956</v>
      </c>
      <c r="H138">
        <v>1960</v>
      </c>
      <c r="I138">
        <v>2003</v>
      </c>
      <c r="J138">
        <v>2</v>
      </c>
      <c r="K138">
        <v>600</v>
      </c>
      <c r="T138">
        <f>32.5+25</f>
        <v>57.5</v>
      </c>
      <c r="W138">
        <v>85</v>
      </c>
      <c r="X138" s="4">
        <f>IF(AND(T138&gt;0,W138&gt;0),(W138/((T138+U138)*10)),"")</f>
        <v>0.14782608695652175</v>
      </c>
      <c r="Y138">
        <v>70</v>
      </c>
      <c r="AA138">
        <v>17.37</v>
      </c>
      <c r="AB138">
        <v>17.37</v>
      </c>
      <c r="AD138">
        <v>3.77</v>
      </c>
      <c r="AE138" s="11">
        <v>51</v>
      </c>
      <c r="AF138" t="str">
        <f>CONCATENATE(VLOOKUP(AG138, 'Voxel Sizes'!$A$2:$B$18,2,FALSE),"x",INT(AC138*15), "x", INT(AD138*15))</f>
        <v>164x0x56</v>
      </c>
      <c r="AG138">
        <f>ROUND(15*((AB138*10)/256),0)</f>
        <v>10</v>
      </c>
      <c r="AI138" t="str">
        <f>CONCATENATE(VLOOKUP(AG138,Constants!$A$2:$C$16,IF(AH138&lt;&gt;"", 3, 2), FALSE),IF(AH138&lt;&gt;"",CONCATENATE(",",VLOOKUP(AH138,$B:$AI,34,FALSE)),""))</f>
        <v>4,2,4</v>
      </c>
      <c r="AK138" t="s">
        <v>566</v>
      </c>
      <c r="AM138" t="s">
        <v>519</v>
      </c>
      <c r="AP138">
        <v>55</v>
      </c>
      <c r="AQ138">
        <f>IF(I138&lt;&gt;"",MAX(8,(I138-G138)-4),"")</f>
        <v>43</v>
      </c>
      <c r="AT138">
        <f>MIN(Y138/150, 1)*30</f>
        <v>14</v>
      </c>
      <c r="AU138">
        <f>MIN(K138/4000, 1)*20</f>
        <v>3</v>
      </c>
      <c r="AV138">
        <f>MIN(W138/400,1)*20</f>
        <v>4.25</v>
      </c>
      <c r="AW138" s="4">
        <v>1</v>
      </c>
      <c r="AX138">
        <f>((MAX($J138,1)*MIN($AE138/300,1)))*IF(D138="Wagon",50,10)</f>
        <v>3.4000000000000004</v>
      </c>
      <c r="AY138">
        <f>VLOOKUP($E138,Constants!$I:$K, 2, FALSE)</f>
        <v>1</v>
      </c>
      <c r="AZ138">
        <f>VLOOKUP($E138,Constants!$I:$K, 3, FALSE)*IF(AND(D138="multiple_unit",Y138&lt;110),0.75,1)</f>
        <v>1.5</v>
      </c>
      <c r="BA138">
        <f>INT(POWER(((Constants!$G$2+$AT138+$AU138+$AV138+$AX138)*$AW138)*$AZ138, 1.05))+$AS138</f>
        <v>53</v>
      </c>
      <c r="BB138">
        <f>INT(((Constants!$G$1+$AT138+$AU138+$AV138+$AX138)*(1/$AW138))*$AY138)+$AR138</f>
        <v>59</v>
      </c>
      <c r="BK138" t="s">
        <v>325</v>
      </c>
      <c r="BL138" t="str">
        <f>VLOOKUP(G138,Eras!$A$2:$C$10, 2, TRUE)</f>
        <v>dsl</v>
      </c>
      <c r="BM138" t="s">
        <v>373</v>
      </c>
      <c r="BN138" t="str">
        <f>CONCATENATE(BL138,"_",BM138)</f>
        <v>dsl_DMU</v>
      </c>
      <c r="BO138" t="str">
        <f t="shared" si="8"/>
        <v/>
      </c>
      <c r="BP138" t="str">
        <f t="shared" si="9"/>
        <v>{BLACK}Cars: {GOLD}2{}</v>
      </c>
      <c r="BQ138" t="s">
        <v>565</v>
      </c>
      <c r="BR138" t="str">
        <f t="shared" si="10"/>
        <v/>
      </c>
      <c r="BS138" t="str">
        <f t="shared" si="11"/>
        <v>{BLACK}Cars: {GOLD}2{}{SILVER}The Class 101 has a four speed gearbox with a manual shift. It was exceptionally long-lived, the final examples being retired in December 2003.</v>
      </c>
    </row>
    <row r="139" spans="1:71" x14ac:dyDescent="0.25">
      <c r="A139" t="s">
        <v>568</v>
      </c>
      <c r="B139" t="s">
        <v>198</v>
      </c>
      <c r="C139">
        <v>294</v>
      </c>
      <c r="D139" t="s">
        <v>304</v>
      </c>
      <c r="E139" t="s">
        <v>314</v>
      </c>
      <c r="F139" t="s">
        <v>316</v>
      </c>
      <c r="G139">
        <v>1957</v>
      </c>
      <c r="H139">
        <v>1962</v>
      </c>
      <c r="I139">
        <v>2017</v>
      </c>
      <c r="K139">
        <v>1250</v>
      </c>
      <c r="T139">
        <v>108.4</v>
      </c>
      <c r="W139">
        <v>160</v>
      </c>
      <c r="X139" s="4">
        <f>IF(AND(T139&gt;0,W139&gt;0),(W139/((T139+U139)*10)),"")</f>
        <v>0.14760147601476015</v>
      </c>
      <c r="Y139">
        <v>80</v>
      </c>
      <c r="AA139">
        <v>17.3</v>
      </c>
      <c r="AB139">
        <v>17.3</v>
      </c>
      <c r="AD139">
        <v>3.84</v>
      </c>
      <c r="AE139" s="11">
        <v>0</v>
      </c>
      <c r="AF139" t="str">
        <f>CONCATENATE(VLOOKUP(AG139, 'Voxel Sizes'!$A$2:$B$18,2,FALSE),"x",INT(AC139*15), "x", INT(AD139*15))</f>
        <v>164x0x57</v>
      </c>
      <c r="AG139">
        <f>ROUND(15*((AB139*10)/256),0)</f>
        <v>10</v>
      </c>
      <c r="AI139" t="str">
        <f>CONCATENATE(VLOOKUP(AG139,Constants!$A$2:$C$16,IF(AH139&lt;&gt;"", 3, 2), FALSE),IF(AH139&lt;&gt;"",CONCATENATE(",",VLOOKUP(AH139,$B:$AI,34,FALSE)),""))</f>
        <v>4,2,4</v>
      </c>
      <c r="AP139">
        <v>40</v>
      </c>
      <c r="AQ139">
        <f>IF(I139&lt;&gt;"",MAX(8,(I139-G139)-4),"")</f>
        <v>56</v>
      </c>
      <c r="AT139">
        <f>MIN(Y139/150, 1)*30</f>
        <v>16</v>
      </c>
      <c r="AU139">
        <f>MIN(K139/4000, 1)*20</f>
        <v>6.25</v>
      </c>
      <c r="AV139">
        <f>MIN(W139/400,1)*20</f>
        <v>8</v>
      </c>
      <c r="AW139" s="4">
        <v>1</v>
      </c>
      <c r="AX139">
        <f>((MAX($J139,1)*MIN($AE139/300,1)))*IF(D139="Wagon",50,10)</f>
        <v>0</v>
      </c>
      <c r="AY139">
        <f>VLOOKUP($E139,Constants!$I:$K, 2, FALSE)</f>
        <v>1</v>
      </c>
      <c r="AZ139">
        <f>VLOOKUP($E139,Constants!$I:$K, 3, FALSE)*IF(AND(D139="multiple_unit",Y139&lt;110),0.75,1)</f>
        <v>2</v>
      </c>
      <c r="BA139">
        <f>INT(POWER(((Constants!$G$2+$AT139+$AU139+$AV139+$AX139)*$AW139)*$AZ139, 1.05))+$AS139</f>
        <v>87</v>
      </c>
      <c r="BB139">
        <f>INT(((Constants!$G$1+$AT139+$AU139+$AV139+$AX139)*(1/$AW139))*$AY139)+$AR139</f>
        <v>65</v>
      </c>
      <c r="BL139" t="str">
        <f>VLOOKUP(G139,Eras!$A$2:$C$10, 2, TRUE)</f>
        <v>dsl</v>
      </c>
      <c r="BM139" t="s">
        <v>371</v>
      </c>
      <c r="BN139" t="str">
        <f>CONCATENATE(BL139,"_",BM139)</f>
        <v>dsl_Freight</v>
      </c>
      <c r="BO139" t="str">
        <f t="shared" si="8"/>
        <v/>
      </c>
      <c r="BP139" t="str">
        <f t="shared" si="9"/>
        <v/>
      </c>
      <c r="BQ139" t="s">
        <v>569</v>
      </c>
      <c r="BR139" t="str">
        <f t="shared" si="10"/>
        <v/>
      </c>
      <c r="BS139" t="str">
        <f t="shared" si="11"/>
        <v>{SILVER}The Class 31 (Brush Type 2) was part of BR's pilot scheme to test replacing steam locmotives with diesel traction. It had many nicknames including "Ped", "Gargoyle" and "Gurgler"</v>
      </c>
    </row>
    <row r="140" spans="1:71" x14ac:dyDescent="0.25">
      <c r="A140" t="s">
        <v>57</v>
      </c>
      <c r="B140" t="s">
        <v>307</v>
      </c>
      <c r="C140">
        <v>296</v>
      </c>
      <c r="D140" t="s">
        <v>304</v>
      </c>
      <c r="E140" t="s">
        <v>314</v>
      </c>
      <c r="F140" t="s">
        <v>316</v>
      </c>
      <c r="G140">
        <v>1957</v>
      </c>
      <c r="H140">
        <v>1968</v>
      </c>
      <c r="K140">
        <v>1000</v>
      </c>
      <c r="T140">
        <v>73</v>
      </c>
      <c r="W140">
        <v>186</v>
      </c>
      <c r="X140" s="4">
        <f>IF(AND(T140&gt;0,W140&gt;0),(W140/((T140+U140)*10)),"")</f>
        <v>0.25479452054794521</v>
      </c>
      <c r="Y140">
        <v>75</v>
      </c>
      <c r="AA140">
        <v>14.25</v>
      </c>
      <c r="AB140">
        <v>14.25</v>
      </c>
      <c r="AC140">
        <v>2.67</v>
      </c>
      <c r="AD140">
        <v>3.85</v>
      </c>
      <c r="AE140" s="11">
        <v>0</v>
      </c>
      <c r="AF140" t="str">
        <f>CONCATENATE(VLOOKUP(AG140, 'Voxel Sizes'!$A$2:$B$18,2,FALSE),"x",INT(AC140*15), "x", INT(AD140*15))</f>
        <v>136x40x57</v>
      </c>
      <c r="AG140">
        <f>ROUND(15*((AB140*10)/256),0)</f>
        <v>8</v>
      </c>
      <c r="AI140" t="str">
        <f>CONCATENATE(VLOOKUP(AG140,Constants!$A$2:$C$16,IF(AH140&lt;&gt;"", 3, 2), FALSE),IF(AH140&lt;&gt;"",CONCATENATE(",",VLOOKUP(AH140,$B:$AI,34,FALSE)),""))</f>
        <v>2,4,2</v>
      </c>
      <c r="AP140">
        <v>43</v>
      </c>
      <c r="AQ140" t="str">
        <f>IF(I140&lt;&gt;"",MAX(8,(I140-G140)-4),"")</f>
        <v/>
      </c>
      <c r="AT140">
        <f>MIN(Y140/150, 1)*30</f>
        <v>15</v>
      </c>
      <c r="AU140">
        <f>MIN(K140/4000, 1)*20</f>
        <v>5</v>
      </c>
      <c r="AV140">
        <f>MIN(W140/400,1)*20</f>
        <v>9.3000000000000007</v>
      </c>
      <c r="AW140" s="4">
        <v>1</v>
      </c>
      <c r="AX140">
        <f>((MAX($J140,1)*MIN($AE140/300,1)))*IF(D140="Wagon",50,10)</f>
        <v>0</v>
      </c>
      <c r="AY140">
        <f>VLOOKUP($E140,Constants!$I:$K, 2, FALSE)</f>
        <v>1</v>
      </c>
      <c r="AZ140">
        <f>VLOOKUP($E140,Constants!$I:$K, 3, FALSE)*IF(AND(D140="multiple_unit",Y140&lt;110),0.75,1)</f>
        <v>2</v>
      </c>
      <c r="BA140">
        <f>INT(POWER(((Constants!$G$2+$AT140+$AU140+$AV140+$AX140)*$AW140)*$AZ140, 1.05))+$AS140</f>
        <v>84</v>
      </c>
      <c r="BB140">
        <f>INT(((Constants!$G$1+$AT140+$AU140+$AV140+$AX140)*(1/$AW140))*$AY140)+$AR140</f>
        <v>64</v>
      </c>
      <c r="BL140" t="str">
        <f>VLOOKUP(G140,Eras!$A$2:$C$10, 2, TRUE)</f>
        <v>dsl</v>
      </c>
      <c r="BM140" t="s">
        <v>369</v>
      </c>
      <c r="BN140" t="str">
        <f>CONCATENATE(BL140,"_",BM140)</f>
        <v>dsl_Mixed Traffic</v>
      </c>
      <c r="BO140" t="str">
        <f t="shared" si="8"/>
        <v/>
      </c>
      <c r="BP140" t="str">
        <f t="shared" si="9"/>
        <v/>
      </c>
      <c r="BQ140" t="s">
        <v>399</v>
      </c>
      <c r="BR140" t="str">
        <f t="shared" si="10"/>
        <v/>
      </c>
      <c r="BS140" t="str">
        <f t="shared" si="11"/>
        <v>{SILVER}The Class 20 (English Electric Type 1) is a diesel-electric locomotive designed for light freight duties. Due to its simple design it was more reliable than many contemporary locomotives, leading to a large number being built.</v>
      </c>
    </row>
    <row r="141" spans="1:71" x14ac:dyDescent="0.25">
      <c r="A141" t="s">
        <v>43</v>
      </c>
      <c r="B141" t="s">
        <v>199</v>
      </c>
      <c r="C141">
        <v>298</v>
      </c>
      <c r="D141" t="s">
        <v>304</v>
      </c>
      <c r="E141" t="s">
        <v>314</v>
      </c>
      <c r="F141" t="s">
        <v>316</v>
      </c>
      <c r="G141">
        <v>1958</v>
      </c>
      <c r="H141">
        <v>1961</v>
      </c>
      <c r="I141">
        <v>1966</v>
      </c>
      <c r="K141">
        <v>2750</v>
      </c>
      <c r="T141">
        <v>81</v>
      </c>
      <c r="U141" s="9">
        <v>45</v>
      </c>
      <c r="W141">
        <v>169</v>
      </c>
      <c r="X141" s="4">
        <f>IF(AND(T141&gt;0,W141&gt;0),(W141/((T141+U141)*10)),"")</f>
        <v>0.13412698412698412</v>
      </c>
      <c r="Y141">
        <v>90</v>
      </c>
      <c r="AA141">
        <v>20.74</v>
      </c>
      <c r="AB141">
        <v>14</v>
      </c>
      <c r="AE141" s="11">
        <v>0</v>
      </c>
      <c r="AF141" t="str">
        <f>CONCATENATE(VLOOKUP(AG141, 'Voxel Sizes'!$A$2:$B$18,2,FALSE),"x",INT(AC141*15), "x", INT(AD141*15))</f>
        <v>136x0x0</v>
      </c>
      <c r="AG141">
        <f>ROUND(15*((AB141*10)/256),0)</f>
        <v>8</v>
      </c>
      <c r="AH141" t="s">
        <v>692</v>
      </c>
      <c r="AI141" t="str">
        <f>CONCATENATE(VLOOKUP(AG141,Constants!$A$2:$C$16,IF(AH141&lt;&gt;"", 3, 2), FALSE),IF(AH141&lt;&gt;"",CONCATENATE(",",VLOOKUP(AH141,$B:$AI,34,FALSE)),""))</f>
        <v>2,4,2,2,1,2</v>
      </c>
      <c r="AO141">
        <v>1</v>
      </c>
      <c r="AP141">
        <v>19</v>
      </c>
      <c r="AQ141">
        <f>IF(I141&lt;&gt;"",MAX(8,(I141-G141)-4),"")</f>
        <v>8</v>
      </c>
      <c r="AT141">
        <f>MIN(Y141/150, 1)*30</f>
        <v>18</v>
      </c>
      <c r="AU141">
        <f>MIN(K141/4000, 1)*20</f>
        <v>13.75</v>
      </c>
      <c r="AV141">
        <f>MIN(W141/400,1)*20</f>
        <v>8.4499999999999993</v>
      </c>
      <c r="AW141" s="4">
        <v>1</v>
      </c>
      <c r="AX141">
        <f>((MAX($J141,1)*MIN($AE141/300,1)))*IF(D141="Wagon",50,10)</f>
        <v>0</v>
      </c>
      <c r="AY141">
        <f>VLOOKUP($E141,Constants!$I:$K, 2, FALSE)</f>
        <v>1</v>
      </c>
      <c r="AZ141">
        <f>VLOOKUP($E141,Constants!$I:$K, 3, FALSE)*IF(AND(D141="multiple_unit",Y141&lt;110),0.75,1)</f>
        <v>2</v>
      </c>
      <c r="BA141">
        <f>INT(POWER(((Constants!$G$2+$AT141+$AU141+$AV141+$AX141)*$AW141)*$AZ141, 1.05))+$AS141</f>
        <v>113</v>
      </c>
      <c r="BB141">
        <f>INT(((Constants!$G$1+$AT141+$AU141+$AV141+$AX141)*(1/$AW141))*$AY141)+$AR141</f>
        <v>75</v>
      </c>
      <c r="BL141" t="str">
        <f>VLOOKUP(G141,Eras!$A$2:$C$10, 2, TRUE)</f>
        <v>dsl</v>
      </c>
      <c r="BM141" t="s">
        <v>370</v>
      </c>
      <c r="BN141" t="str">
        <f>CONCATENATE(BL141,"_",BM141)</f>
        <v>dsl_Express</v>
      </c>
      <c r="BO141" t="str">
        <f t="shared" si="8"/>
        <v/>
      </c>
      <c r="BP141" t="str">
        <f t="shared" si="9"/>
        <v/>
      </c>
      <c r="BQ141" t="s">
        <v>567</v>
      </c>
      <c r="BR141" t="str">
        <f t="shared" si="10"/>
        <v/>
      </c>
      <c r="BS141" t="str">
        <f t="shared" si="11"/>
        <v>{SILVER}The GT3 was part of a programme to test gas turbine locomotives. It used a conventional steam driving wheel arrangement to keep the design simple.</v>
      </c>
    </row>
    <row r="142" spans="1:71" x14ac:dyDescent="0.25">
      <c r="A142" t="s">
        <v>47</v>
      </c>
      <c r="B142" t="s">
        <v>200</v>
      </c>
      <c r="C142">
        <v>300</v>
      </c>
      <c r="D142" t="s">
        <v>304</v>
      </c>
      <c r="E142" t="s">
        <v>314</v>
      </c>
      <c r="F142" t="s">
        <v>316</v>
      </c>
      <c r="G142">
        <v>1958</v>
      </c>
      <c r="H142">
        <v>1961</v>
      </c>
      <c r="I142">
        <v>1972</v>
      </c>
      <c r="K142">
        <f>1035*2</f>
        <v>2070</v>
      </c>
      <c r="T142">
        <v>79.3</v>
      </c>
      <c r="W142">
        <v>214</v>
      </c>
      <c r="X142" s="4">
        <f>IF(AND(T142&gt;0,W142&gt;0),(W142/((T142+U142)*10)),"")</f>
        <v>0.26986128625472888</v>
      </c>
      <c r="Y142">
        <v>90</v>
      </c>
      <c r="AA142">
        <v>18.29</v>
      </c>
      <c r="AB142">
        <v>18.29</v>
      </c>
      <c r="AD142">
        <v>3.67</v>
      </c>
      <c r="AE142" s="11">
        <v>0</v>
      </c>
      <c r="AF142" t="str">
        <f>CONCATENATE(VLOOKUP(AG142, 'Voxel Sizes'!$A$2:$B$18,2,FALSE),"x",INT(AC142*15), "x", INT(AD142*15))</f>
        <v>186x0x55</v>
      </c>
      <c r="AG142">
        <f>ROUND(15*((AB142*10)/256),0)</f>
        <v>11</v>
      </c>
      <c r="AI142" t="str">
        <f>CONCATENATE(VLOOKUP(AG142,Constants!$A$2:$C$16,IF(AH142&lt;&gt;"", 3, 2), FALSE),IF(AH142&lt;&gt;"",CONCATENATE(",",VLOOKUP(AH142,$B:$AI,34,FALSE)),""))</f>
        <v>4,3,4</v>
      </c>
      <c r="AP142">
        <v>42</v>
      </c>
      <c r="AQ142">
        <f>IF(I142&lt;&gt;"",MAX(8,(I142-G142)-4),"")</f>
        <v>10</v>
      </c>
      <c r="AT142">
        <f>MIN(Y142/150, 1)*30</f>
        <v>18</v>
      </c>
      <c r="AU142">
        <f>MIN(K142/4000, 1)*20</f>
        <v>10.35</v>
      </c>
      <c r="AV142">
        <f>MIN(W142/400,1)*20</f>
        <v>10.700000000000001</v>
      </c>
      <c r="AW142" s="4">
        <v>1</v>
      </c>
      <c r="AX142">
        <f>((MAX($J142,1)*MIN($AE142/300,1)))*IF(D142="Wagon",50,10)</f>
        <v>0</v>
      </c>
      <c r="AY142">
        <f>VLOOKUP($E142,Constants!$I:$K, 2, FALSE)</f>
        <v>1</v>
      </c>
      <c r="AZ142">
        <f>VLOOKUP($E142,Constants!$I:$K, 3, FALSE)*IF(AND(D142="multiple_unit",Y142&lt;110),0.75,1)</f>
        <v>2</v>
      </c>
      <c r="BA142">
        <f>INT(POWER(((Constants!$G$2+$AT142+$AU142+$AV142+$AX142)*$AW142)*$AZ142, 1.05))+$AS142</f>
        <v>110</v>
      </c>
      <c r="BB142">
        <f>INT(((Constants!$G$1+$AT142+$AU142+$AV142+$AX142)*(1/$AW142))*$AY142)+$AR142</f>
        <v>74</v>
      </c>
      <c r="BL142" t="str">
        <f>VLOOKUP(G142,Eras!$A$2:$C$10, 2, TRUE)</f>
        <v>dsl</v>
      </c>
      <c r="BM142" t="s">
        <v>419</v>
      </c>
      <c r="BN142" t="str">
        <f>CONCATENATE(BL142,"_",BM142)</f>
        <v>dsl_Passenger</v>
      </c>
      <c r="BO142" t="str">
        <f t="shared" si="8"/>
        <v/>
      </c>
      <c r="BP142" t="str">
        <f t="shared" si="9"/>
        <v/>
      </c>
      <c r="BQ142" t="s">
        <v>570</v>
      </c>
      <c r="BR142" t="str">
        <f t="shared" si="10"/>
        <v/>
      </c>
      <c r="BS142" t="str">
        <f t="shared" si="11"/>
        <v>{SILVER}The Class 42 is based on the German V200 design, scaled down to fit the smaller British loading gauge and built under licence by British manufacturers.</v>
      </c>
    </row>
    <row r="143" spans="1:71" x14ac:dyDescent="0.25">
      <c r="A143" t="s">
        <v>52</v>
      </c>
      <c r="B143" t="s">
        <v>572</v>
      </c>
      <c r="C143">
        <v>302</v>
      </c>
      <c r="D143" t="s">
        <v>304</v>
      </c>
      <c r="E143" t="s">
        <v>314</v>
      </c>
      <c r="F143" t="s">
        <v>316</v>
      </c>
      <c r="G143">
        <v>1958</v>
      </c>
      <c r="H143">
        <v>1962</v>
      </c>
      <c r="I143">
        <v>1985</v>
      </c>
      <c r="K143">
        <v>2000</v>
      </c>
      <c r="T143">
        <v>135</v>
      </c>
      <c r="W143">
        <v>231</v>
      </c>
      <c r="X143" s="4">
        <f>IF(AND(T143&gt;0,W143&gt;0),(W143/((T143+U143)*10)),"")</f>
        <v>0.1711111111111111</v>
      </c>
      <c r="Y143">
        <v>90</v>
      </c>
      <c r="AA143">
        <v>21.18</v>
      </c>
      <c r="AB143">
        <v>21.18</v>
      </c>
      <c r="AD143">
        <v>3.91</v>
      </c>
      <c r="AE143" s="11">
        <v>0</v>
      </c>
      <c r="AF143" t="str">
        <f>CONCATENATE(VLOOKUP(AG143, 'Voxel Sizes'!$A$2:$B$18,2,FALSE),"x",INT(AC143*15), "x", INT(AD143*15))</f>
        <v>198x0x58</v>
      </c>
      <c r="AG143">
        <f>ROUND(15*((AB143*10)/256),0)</f>
        <v>12</v>
      </c>
      <c r="AI143" t="str">
        <f>CONCATENATE(VLOOKUP(AG143,Constants!$A$2:$C$16,IF(AH143&lt;&gt;"", 3, 2), FALSE),IF(AH143&lt;&gt;"",CONCATENATE(",",VLOOKUP(AH143,$B:$AI,34,FALSE)),""))</f>
        <v>4,4,4</v>
      </c>
      <c r="AP143">
        <v>39</v>
      </c>
      <c r="AQ143">
        <f>IF(I143&lt;&gt;"",MAX(8,(I143-G143)-4),"")</f>
        <v>23</v>
      </c>
      <c r="AT143">
        <f>MIN(Y143/150, 1)*30</f>
        <v>18</v>
      </c>
      <c r="AU143">
        <f>MIN(K143/4000, 1)*20</f>
        <v>10</v>
      </c>
      <c r="AV143">
        <f>MIN(W143/400,1)*20</f>
        <v>11.55</v>
      </c>
      <c r="AW143" s="4">
        <v>1</v>
      </c>
      <c r="AX143">
        <f>((MAX($J143,1)*MIN($AE143/300,1)))*IF(D143="Wagon",50,10)</f>
        <v>0</v>
      </c>
      <c r="AY143">
        <f>VLOOKUP($E143,Constants!$I:$K, 2, FALSE)</f>
        <v>1</v>
      </c>
      <c r="AZ143">
        <f>VLOOKUP($E143,Constants!$I:$K, 3, FALSE)*IF(AND(D143="multiple_unit",Y143&lt;110),0.75,1)</f>
        <v>2</v>
      </c>
      <c r="BA143">
        <f>INT(POWER(((Constants!$G$2+$AT143+$AU143+$AV143+$AX143)*$AW143)*$AZ143, 1.05))+$AS143</f>
        <v>111</v>
      </c>
      <c r="BB143">
        <f>INT(((Constants!$G$1+$AT143+$AU143+$AV143+$AX143)*(1/$AW143))*$AY143)+$AR143</f>
        <v>74</v>
      </c>
      <c r="BL143" t="str">
        <f>VLOOKUP(G143,Eras!$A$2:$C$10, 2, TRUE)</f>
        <v>dsl</v>
      </c>
      <c r="BM143" t="s">
        <v>370</v>
      </c>
      <c r="BN143" t="str">
        <f>CONCATENATE(BL143,"_",BM143)</f>
        <v>dsl_Express</v>
      </c>
      <c r="BO143" t="str">
        <f t="shared" si="8"/>
        <v/>
      </c>
      <c r="BP143" t="str">
        <f t="shared" si="9"/>
        <v/>
      </c>
      <c r="BQ143" t="s">
        <v>571</v>
      </c>
      <c r="BR143" t="str">
        <f t="shared" si="10"/>
        <v/>
      </c>
      <c r="BS143" t="str">
        <f t="shared" si="11"/>
        <v>{SILVER}Initially unwanted due to the small improvement in performance over the Class 7 Britannia, the Class 40 (English Electric Type 4) found its home on the West Coast Main Line.</v>
      </c>
    </row>
    <row r="144" spans="1:71" x14ac:dyDescent="0.25">
      <c r="A144" t="s">
        <v>53</v>
      </c>
      <c r="B144" t="s">
        <v>340</v>
      </c>
      <c r="C144">
        <v>304</v>
      </c>
      <c r="D144" t="s">
        <v>304</v>
      </c>
      <c r="E144" t="s">
        <v>314</v>
      </c>
      <c r="F144" t="s">
        <v>316</v>
      </c>
      <c r="G144">
        <v>1958</v>
      </c>
      <c r="H144">
        <v>1959</v>
      </c>
      <c r="I144">
        <v>1968</v>
      </c>
      <c r="K144">
        <v>1200</v>
      </c>
      <c r="T144">
        <v>98.6</v>
      </c>
      <c r="W144">
        <v>222</v>
      </c>
      <c r="X144" s="4">
        <f>IF(AND(T144&gt;0,W144&gt;0),(W144/((T144+U144)*10)),"")</f>
        <v>0.22515212981744423</v>
      </c>
      <c r="Y144">
        <v>75</v>
      </c>
      <c r="AA144">
        <v>17.260000000000002</v>
      </c>
      <c r="AB144">
        <v>17.260000000000002</v>
      </c>
      <c r="AD144">
        <v>3.7</v>
      </c>
      <c r="AE144" s="11">
        <v>0</v>
      </c>
      <c r="AF144" t="str">
        <f>CONCATENATE(VLOOKUP(AG144, 'Voxel Sizes'!$A$2:$B$18,2,FALSE),"x",INT(AC144*15), "x", INT(AD144*15))</f>
        <v>164x0x55</v>
      </c>
      <c r="AG144">
        <f>ROUND(15*((AB144*10)/256),0)</f>
        <v>10</v>
      </c>
      <c r="AI144" t="str">
        <f>CONCATENATE(VLOOKUP(AG144,Constants!$A$2:$C$16,IF(AH144&lt;&gt;"", 3, 2), FALSE),IF(AH144&lt;&gt;"",CONCATENATE(",",VLOOKUP(AH144,$B:$AI,34,FALSE)),""))</f>
        <v>4,2,4</v>
      </c>
      <c r="AP144">
        <v>31</v>
      </c>
      <c r="AQ144">
        <f>IF(I144&lt;&gt;"",MAX(8,(I144-G144)-4),"")</f>
        <v>8</v>
      </c>
      <c r="AT144">
        <f>MIN(Y144/150, 1)*30</f>
        <v>15</v>
      </c>
      <c r="AU144">
        <f>MIN(K144/4000, 1)*20</f>
        <v>6</v>
      </c>
      <c r="AV144">
        <f>MIN(W144/400,1)*20</f>
        <v>11.100000000000001</v>
      </c>
      <c r="AW144" s="4">
        <v>1</v>
      </c>
      <c r="AX144">
        <f>((MAX($J144,1)*MIN($AE144/300,1)))*IF(D144="Wagon",50,10)</f>
        <v>0</v>
      </c>
      <c r="AY144">
        <f>VLOOKUP($E144,Constants!$I:$K, 2, FALSE)</f>
        <v>1</v>
      </c>
      <c r="AZ144">
        <f>VLOOKUP($E144,Constants!$I:$K, 3, FALSE)*IF(AND(D144="multiple_unit",Y144&lt;110),0.75,1)</f>
        <v>2</v>
      </c>
      <c r="BA144">
        <f>INT(POWER(((Constants!$G$2+$AT144+$AU144+$AV144+$AX144)*$AW144)*$AZ144, 1.05))+$AS144</f>
        <v>92</v>
      </c>
      <c r="BB144">
        <f>INT(((Constants!$G$1+$AT144+$AU144+$AV144+$AX144)*(1/$AW144))*$AY144)+$AR144</f>
        <v>67</v>
      </c>
      <c r="BL144" t="str">
        <f>VLOOKUP(G144,Eras!$A$2:$C$10, 2, TRUE)</f>
        <v>dsl</v>
      </c>
      <c r="BM144" t="s">
        <v>369</v>
      </c>
      <c r="BN144" t="str">
        <f>CONCATENATE(BL144,"_",BM144)</f>
        <v>dsl_Mixed Traffic</v>
      </c>
      <c r="BO144" t="str">
        <f t="shared" si="8"/>
        <v/>
      </c>
      <c r="BP144" t="str">
        <f t="shared" si="9"/>
        <v/>
      </c>
      <c r="BQ144" t="s">
        <v>400</v>
      </c>
      <c r="BR144" t="str">
        <f t="shared" si="10"/>
        <v/>
      </c>
      <c r="BS144" t="str">
        <f t="shared" si="11"/>
        <v>{SILVER}The Class 28 features some unusual design elements, with a two-stroke diesel engine and a "Co-Bo" layout with five axles: three at the front and two at the rear. It was sadly unreliable in use, with engine problems and a tendency for the cab windows to fall out.</v>
      </c>
    </row>
    <row r="145" spans="1:71" x14ac:dyDescent="0.25">
      <c r="A145" t="s">
        <v>75</v>
      </c>
      <c r="B145" t="s">
        <v>255</v>
      </c>
      <c r="C145">
        <v>306</v>
      </c>
      <c r="D145" t="s">
        <v>304</v>
      </c>
      <c r="E145" t="s">
        <v>338</v>
      </c>
      <c r="F145" t="s">
        <v>345</v>
      </c>
      <c r="G145">
        <v>1958</v>
      </c>
      <c r="H145">
        <v>1960</v>
      </c>
      <c r="I145">
        <v>1977</v>
      </c>
      <c r="K145">
        <v>2300</v>
      </c>
      <c r="T145">
        <v>78.239999999999995</v>
      </c>
      <c r="W145">
        <v>195</v>
      </c>
      <c r="X145" s="4">
        <f>IF(AND(T145&gt;0,W145&gt;0),(W145/((T145+U145)*10)),"")</f>
        <v>0.24923312883435583</v>
      </c>
      <c r="Y145">
        <v>90</v>
      </c>
      <c r="AA145">
        <v>16.36</v>
      </c>
      <c r="AB145">
        <v>16.36</v>
      </c>
      <c r="AE145" s="11">
        <v>0</v>
      </c>
      <c r="AF145" t="str">
        <f>CONCATENATE(VLOOKUP(AG145, 'Voxel Sizes'!$A$2:$B$18,2,FALSE),"x",INT(AC145*15), "x", INT(AD145*15))</f>
        <v>164x0x0</v>
      </c>
      <c r="AG145">
        <f>ROUND(15*((AB145*10)/256),0)</f>
        <v>10</v>
      </c>
      <c r="AI145" t="str">
        <f>CONCATENATE(VLOOKUP(AG145,Constants!$A$2:$C$16,IF(AH145&lt;&gt;"", 3, 2), FALSE),IF(AH145&lt;&gt;"",CONCATENATE(",",VLOOKUP(AH145,$B:$AI,34,FALSE)),""))</f>
        <v>4,2,4</v>
      </c>
      <c r="AP145">
        <v>42</v>
      </c>
      <c r="AQ145">
        <f>IF(I145&lt;&gt;"",MAX(8,(I145-G145)-4),"")</f>
        <v>15</v>
      </c>
      <c r="AT145">
        <f>MIN(Y145/150, 1)*30</f>
        <v>18</v>
      </c>
      <c r="AU145">
        <f>MIN(K145/4000, 1)*20</f>
        <v>11.5</v>
      </c>
      <c r="AV145">
        <f>MIN(W145/400,1)*20</f>
        <v>9.75</v>
      </c>
      <c r="AW145" s="4">
        <v>1</v>
      </c>
      <c r="AX145">
        <f>((MAX($J145,1)*MIN($AE145/300,1)))*IF(D145="Wagon",50,10)</f>
        <v>0</v>
      </c>
      <c r="AY145">
        <f>VLOOKUP($E145,Constants!$I:$K, 2, FALSE)</f>
        <v>0.85</v>
      </c>
      <c r="AZ145">
        <f>VLOOKUP($E145,Constants!$I:$K, 3, FALSE)*IF(AND(D145="multiple_unit",Y145&lt;110),0.75,1)</f>
        <v>2.2999999999999998</v>
      </c>
      <c r="BA145">
        <f>INT(POWER(((Constants!$G$2+$AT145+$AU145+$AV145+$AX145)*$AW145)*$AZ145, 1.05))+$AS145</f>
        <v>128</v>
      </c>
      <c r="BB145">
        <f>INT(((Constants!$G$1+$AT145+$AU145+$AV145+$AX145)*(1/$AW145))*$AY145)+$AR145</f>
        <v>63</v>
      </c>
      <c r="BL145" t="str">
        <f>VLOOKUP(G145,Eras!$A$2:$C$10, 2, TRUE)</f>
        <v>dsl</v>
      </c>
      <c r="BM145" t="s">
        <v>379</v>
      </c>
      <c r="BN145" t="str">
        <f>CONCATENATE(BL145,"_",BM145)</f>
        <v>dsl_MT (Electric)</v>
      </c>
      <c r="BO145" t="str">
        <f t="shared" si="8"/>
        <v/>
      </c>
      <c r="BP145" t="str">
        <f t="shared" si="9"/>
        <v/>
      </c>
      <c r="BQ145" t="s">
        <v>401</v>
      </c>
      <c r="BR145" t="str">
        <f t="shared" si="10"/>
        <v/>
      </c>
      <c r="BS145" t="str">
        <f t="shared" si="11"/>
        <v>{SILVER}The Class 71 is a mixed-traffic electric locomotive designed to work on the third rail system. It offered a lot of power for a small locomotive, but being confined to third rail power with no auxiliary option limited its usefulness.</v>
      </c>
    </row>
    <row r="146" spans="1:71" x14ac:dyDescent="0.25">
      <c r="A146" t="s">
        <v>588</v>
      </c>
      <c r="B146" t="s">
        <v>590</v>
      </c>
      <c r="C146">
        <v>308</v>
      </c>
      <c r="D146" t="s">
        <v>304</v>
      </c>
      <c r="E146" t="s">
        <v>314</v>
      </c>
      <c r="F146" t="s">
        <v>316</v>
      </c>
      <c r="G146">
        <v>1958</v>
      </c>
      <c r="H146">
        <v>1959</v>
      </c>
      <c r="I146">
        <v>1994</v>
      </c>
      <c r="K146">
        <v>1160</v>
      </c>
      <c r="T146">
        <v>78.7</v>
      </c>
      <c r="W146">
        <v>187</v>
      </c>
      <c r="X146" s="4">
        <f>IF(AND(T146&gt;0,W146&gt;0),(W146/((T146+U146)*10)),"")</f>
        <v>0.23761118170266837</v>
      </c>
      <c r="Y146">
        <v>80</v>
      </c>
      <c r="AA146">
        <v>15.47</v>
      </c>
      <c r="AB146">
        <v>15.47</v>
      </c>
      <c r="AD146">
        <v>3.86</v>
      </c>
      <c r="AE146" s="11">
        <v>0</v>
      </c>
      <c r="AF146" t="str">
        <f>CONCATENATE(VLOOKUP(AG146, 'Voxel Sizes'!$A$2:$B$18,2,FALSE),"x",INT(AC146*15), "x", INT(AD146*15))</f>
        <v>152x0x57</v>
      </c>
      <c r="AG146">
        <f>ROUND(15*((AB146*10)/256),0)</f>
        <v>9</v>
      </c>
      <c r="AI146" t="str">
        <f>CONCATENATE(VLOOKUP(AG146,Constants!$A$2:$C$16,IF(AH146&lt;&gt;"", 3, 2), FALSE),IF(AH146&lt;&gt;"",CONCATENATE(",",VLOOKUP(AH146,$B:$AI,34,FALSE)),""))</f>
        <v>2,5,2</v>
      </c>
      <c r="AP146">
        <v>40</v>
      </c>
      <c r="AQ146">
        <f>IF(I146&lt;&gt;"",MAX(8,(I146-G146)-4),"")</f>
        <v>32</v>
      </c>
      <c r="AT146">
        <f>MIN(Y146/150, 1)*30</f>
        <v>16</v>
      </c>
      <c r="AU146">
        <f>MIN(K146/4000, 1)*20</f>
        <v>5.8</v>
      </c>
      <c r="AV146">
        <f>MIN(W146/400,1)*20</f>
        <v>9.3500000000000014</v>
      </c>
      <c r="AW146" s="4">
        <v>1</v>
      </c>
      <c r="AX146">
        <f>((MAX($J146,1)*MIN($AE146/300,1)))*IF(D146="Wagon",50,10)</f>
        <v>0</v>
      </c>
      <c r="AY146">
        <f>VLOOKUP($E146,Constants!$I:$K, 2, FALSE)</f>
        <v>1</v>
      </c>
      <c r="AZ146">
        <f>VLOOKUP($E146,Constants!$I:$K, 3, FALSE)*IF(AND(D146="multiple_unit",Y146&lt;110),0.75,1)</f>
        <v>2</v>
      </c>
      <c r="BA146">
        <f>INT(POWER(((Constants!$G$2+$AT146+$AU146+$AV146+$AX146)*$AW146)*$AZ146, 1.05))+$AS146</f>
        <v>89</v>
      </c>
      <c r="BB146">
        <f>INT(((Constants!$G$1+$AT146+$AU146+$AV146+$AX146)*(1/$AW146))*$AY146)+$AR146</f>
        <v>66</v>
      </c>
      <c r="BL146" t="str">
        <f>VLOOKUP(G146,Eras!$A$2:$C$10, 2, TRUE)</f>
        <v>dsl</v>
      </c>
      <c r="BM146" t="s">
        <v>369</v>
      </c>
      <c r="BN146" t="str">
        <f>CONCATENATE(BL146,"_",BM146)</f>
        <v>dsl_Mixed Traffic</v>
      </c>
      <c r="BO146" t="str">
        <f t="shared" si="8"/>
        <v/>
      </c>
      <c r="BP146" t="str">
        <f t="shared" si="9"/>
        <v/>
      </c>
      <c r="BQ146" t="s">
        <v>589</v>
      </c>
      <c r="BR146" t="str">
        <f t="shared" si="10"/>
        <v/>
      </c>
      <c r="BS146" t="str">
        <f t="shared" si="11"/>
        <v>{SILVER}The Class 26 "Teacup" (so named for its idling sound) was an early Type 2 locomotive, small diesels with engine output between 800 and 1,250 hp.</v>
      </c>
    </row>
    <row r="147" spans="1:71" x14ac:dyDescent="0.25">
      <c r="A147" t="s">
        <v>50</v>
      </c>
      <c r="B147" t="s">
        <v>308</v>
      </c>
      <c r="C147">
        <v>310</v>
      </c>
      <c r="D147" t="s">
        <v>304</v>
      </c>
      <c r="E147" t="s">
        <v>314</v>
      </c>
      <c r="F147" t="s">
        <v>316</v>
      </c>
      <c r="G147">
        <v>1959</v>
      </c>
      <c r="H147">
        <v>1959</v>
      </c>
      <c r="I147">
        <v>1971</v>
      </c>
      <c r="K147">
        <v>1100</v>
      </c>
      <c r="T147">
        <v>75.2</v>
      </c>
      <c r="W147">
        <v>209</v>
      </c>
      <c r="X147" s="4">
        <f>IF(AND(T147&gt;0,W147&gt;0),(W147/((T147+U147)*10)),"")</f>
        <v>0.27792553191489361</v>
      </c>
      <c r="Y147">
        <v>75</v>
      </c>
      <c r="AA147">
        <v>16</v>
      </c>
      <c r="AB147">
        <v>16</v>
      </c>
      <c r="AD147">
        <v>3.86</v>
      </c>
      <c r="AE147" s="11">
        <v>0</v>
      </c>
      <c r="AF147" t="str">
        <f>CONCATENATE(VLOOKUP(AG147, 'Voxel Sizes'!$A$2:$B$18,2,FALSE),"x",INT(AC147*15), "x", INT(AD147*15))</f>
        <v>152x0x57</v>
      </c>
      <c r="AG147">
        <f>ROUND(15*((AB147*10)/256),0)</f>
        <v>9</v>
      </c>
      <c r="AI147" t="str">
        <f>CONCATENATE(VLOOKUP(AG147,Constants!$A$2:$C$16,IF(AH147&lt;&gt;"", 3, 2), FALSE),IF(AH147&lt;&gt;"",CONCATENATE(",",VLOOKUP(AH147,$B:$AI,34,FALSE)),""))</f>
        <v>2,5,2</v>
      </c>
      <c r="AP147">
        <v>36</v>
      </c>
      <c r="AQ147">
        <f>IF(I147&lt;&gt;"",MAX(8,(I147-G147)-4),"")</f>
        <v>8</v>
      </c>
      <c r="AT147">
        <f>MIN(Y147/150, 1)*30</f>
        <v>15</v>
      </c>
      <c r="AU147">
        <f>MIN(K147/4000, 1)*20</f>
        <v>5.5</v>
      </c>
      <c r="AV147">
        <f>MIN(W147/400,1)*20</f>
        <v>10.45</v>
      </c>
      <c r="AW147" s="4">
        <v>1</v>
      </c>
      <c r="AX147">
        <f>((MAX($J147,1)*MIN($AE147/300,1)))*IF(D147="Wagon",50,10)</f>
        <v>0</v>
      </c>
      <c r="AY147">
        <f>VLOOKUP($E147,Constants!$I:$K, 2, FALSE)</f>
        <v>1</v>
      </c>
      <c r="AZ147">
        <f>VLOOKUP($E147,Constants!$I:$K, 3, FALSE)*IF(AND(D147="multiple_unit",Y147&lt;110),0.75,1)</f>
        <v>2</v>
      </c>
      <c r="BA147">
        <f>INT(POWER(((Constants!$G$2+$AT147+$AU147+$AV147+$AX147)*$AW147)*$AZ147, 1.05))+$AS147</f>
        <v>89</v>
      </c>
      <c r="BB147">
        <f>INT(((Constants!$G$1+$AT147+$AU147+$AV147+$AX147)*(1/$AW147))*$AY147)+$AR147</f>
        <v>65</v>
      </c>
      <c r="BL147" t="str">
        <f>VLOOKUP(G147,Eras!$A$2:$C$10, 2, TRUE)</f>
        <v>dsl</v>
      </c>
      <c r="BM147" t="s">
        <v>369</v>
      </c>
      <c r="BN147" t="str">
        <f>CONCATENATE(BL147,"_",BM147)</f>
        <v>dsl_Mixed Traffic</v>
      </c>
      <c r="BO147" t="str">
        <f t="shared" si="8"/>
        <v/>
      </c>
      <c r="BP147" t="str">
        <f t="shared" si="9"/>
        <v/>
      </c>
      <c r="BQ147" t="s">
        <v>409</v>
      </c>
      <c r="BR147" t="str">
        <f t="shared" si="10"/>
        <v/>
      </c>
      <c r="BS147" t="str">
        <f t="shared" si="11"/>
        <v>{SILVER}The Class 23 uses a smaller version of the Napier Deltic engine fitted to the Class 55, leading to its nickname of "Baby Deltic".</v>
      </c>
    </row>
    <row r="148" spans="1:71" x14ac:dyDescent="0.25">
      <c r="A148" t="s">
        <v>70</v>
      </c>
      <c r="B148" t="s">
        <v>256</v>
      </c>
      <c r="C148">
        <v>312</v>
      </c>
      <c r="D148" t="s">
        <v>304</v>
      </c>
      <c r="E148" t="s">
        <v>338</v>
      </c>
      <c r="F148" t="s">
        <v>339</v>
      </c>
      <c r="G148">
        <v>1959</v>
      </c>
      <c r="H148">
        <v>1964</v>
      </c>
      <c r="I148">
        <v>1991</v>
      </c>
      <c r="K148">
        <f>4*847</f>
        <v>3388</v>
      </c>
      <c r="T148">
        <v>80.900000000000006</v>
      </c>
      <c r="W148">
        <v>222</v>
      </c>
      <c r="X148" s="4">
        <f>IF(AND(T148&gt;0,W148&gt;0),(W148/((T148+U148)*10)),"")</f>
        <v>0.27441285537700866</v>
      </c>
      <c r="Y148">
        <v>100</v>
      </c>
      <c r="AA148">
        <v>17.22</v>
      </c>
      <c r="AB148">
        <v>17.22</v>
      </c>
      <c r="AD148">
        <v>3.77</v>
      </c>
      <c r="AE148" s="11">
        <v>0</v>
      </c>
      <c r="AF148" t="str">
        <f>CONCATENATE(VLOOKUP(AG148, 'Voxel Sizes'!$A$2:$B$18,2,FALSE),"x",INT(AC148*15), "x", INT(AD148*15))</f>
        <v>164x0x56</v>
      </c>
      <c r="AG148">
        <f>ROUND(15*((AB148*10)/256),0)</f>
        <v>10</v>
      </c>
      <c r="AI148" t="str">
        <f>CONCATENATE(VLOOKUP(AG148,Constants!$A$2:$C$16,IF(AH148&lt;&gt;"", 3, 2), FALSE),IF(AH148&lt;&gt;"",CONCATENATE(",",VLOOKUP(AH148,$B:$AI,34,FALSE)),""))</f>
        <v>4,2,4</v>
      </c>
      <c r="AP148">
        <v>37</v>
      </c>
      <c r="AQ148">
        <f>IF(I148&lt;&gt;"",MAX(8,(I148-G148)-4),"")</f>
        <v>28</v>
      </c>
      <c r="AT148">
        <f>MIN(Y148/150, 1)*30</f>
        <v>20</v>
      </c>
      <c r="AU148">
        <f>MIN(K148/4000, 1)*20</f>
        <v>16.939999999999998</v>
      </c>
      <c r="AV148">
        <f>MIN(W148/400,1)*20</f>
        <v>11.100000000000001</v>
      </c>
      <c r="AW148" s="4">
        <v>1</v>
      </c>
      <c r="AX148">
        <f>((MAX($J148,1)*MIN($AE148/300,1)))*IF(D148="Wagon",50,10)</f>
        <v>0</v>
      </c>
      <c r="AY148">
        <f>VLOOKUP($E148,Constants!$I:$K, 2, FALSE)</f>
        <v>0.85</v>
      </c>
      <c r="AZ148">
        <f>VLOOKUP($E148,Constants!$I:$K, 3, FALSE)*IF(AND(D148="multiple_unit",Y148&lt;110),0.75,1)</f>
        <v>2.2999999999999998</v>
      </c>
      <c r="BA148">
        <f>INT(POWER(((Constants!$G$2+$AT148+$AU148+$AV148+$AX148)*$AW148)*$AZ148, 1.05))+$AS148</f>
        <v>155</v>
      </c>
      <c r="BB148">
        <f>INT(((Constants!$G$1+$AT148+$AU148+$AV148+$AX148)*(1/$AW148))*$AY148)+$AR148</f>
        <v>70</v>
      </c>
      <c r="BL148" t="str">
        <f>VLOOKUP(G148,Eras!$A$2:$C$10, 2, TRUE)</f>
        <v>dsl</v>
      </c>
      <c r="BM148" t="s">
        <v>380</v>
      </c>
      <c r="BN148" t="str">
        <f>CONCATENATE(BL148,"_",BM148)</f>
        <v>dsl_Express (Electric)</v>
      </c>
      <c r="BO148" t="str">
        <f t="shared" si="8"/>
        <v/>
      </c>
      <c r="BP148" t="str">
        <f t="shared" si="9"/>
        <v/>
      </c>
      <c r="BQ148" t="s">
        <v>573</v>
      </c>
      <c r="BR148" t="str">
        <f t="shared" si="10"/>
        <v/>
      </c>
      <c r="BS148" t="str">
        <f t="shared" si="11"/>
        <v>{SILVER}Built by Associated Electrical Industries, the Class 81 was British Railways' first AC electric locomotive. Two types were envisioned, but all delivered were geared for 100mph passenger and express freight usage.</v>
      </c>
    </row>
    <row r="149" spans="1:71" x14ac:dyDescent="0.25">
      <c r="A149" t="s">
        <v>51</v>
      </c>
      <c r="B149" t="s">
        <v>303</v>
      </c>
      <c r="C149">
        <v>314</v>
      </c>
      <c r="D149" t="s">
        <v>304</v>
      </c>
      <c r="E149" t="s">
        <v>314</v>
      </c>
      <c r="F149" t="s">
        <v>316</v>
      </c>
      <c r="G149">
        <v>1960</v>
      </c>
      <c r="H149">
        <v>1965</v>
      </c>
      <c r="K149">
        <v>1750</v>
      </c>
      <c r="T149">
        <v>102</v>
      </c>
      <c r="W149">
        <v>247</v>
      </c>
      <c r="X149" s="4">
        <f>IF(AND(T149&gt;0,W149&gt;0),(W149/((T149+U149)*10)),"")</f>
        <v>0.24215686274509804</v>
      </c>
      <c r="Y149">
        <v>90</v>
      </c>
      <c r="AA149">
        <v>18.75</v>
      </c>
      <c r="AB149">
        <v>18.75</v>
      </c>
      <c r="AC149">
        <v>2.71</v>
      </c>
      <c r="AD149">
        <v>3.89</v>
      </c>
      <c r="AE149" s="11">
        <v>0</v>
      </c>
      <c r="AF149" t="str">
        <f>CONCATENATE(VLOOKUP(AG149, 'Voxel Sizes'!$A$2:$B$18,2,FALSE),"x",INT(AC149*15), "x", INT(AD149*15))</f>
        <v>186x40x58</v>
      </c>
      <c r="AG149">
        <f>ROUND(15*((AB149*10)/256),0)</f>
        <v>11</v>
      </c>
      <c r="AI149" t="str">
        <f>CONCATENATE(VLOOKUP(AG149,Constants!$A$2:$C$16,IF(AH149&lt;&gt;"", 3, 2), FALSE),IF(AH149&lt;&gt;"",CONCATENATE(",",VLOOKUP(AH149,$B:$AI,34,FALSE)),""))</f>
        <v>4,3,4</v>
      </c>
      <c r="AP149">
        <v>52</v>
      </c>
      <c r="AQ149" t="str">
        <f>IF(I149&lt;&gt;"",MAX(8,(I149-G149)-4),"")</f>
        <v/>
      </c>
      <c r="AT149">
        <f>MIN(Y149/150, 1)*30</f>
        <v>18</v>
      </c>
      <c r="AU149">
        <f>MIN(K149/4000, 1)*20</f>
        <v>8.75</v>
      </c>
      <c r="AV149">
        <f>MIN(W149/400,1)*20</f>
        <v>12.350000000000001</v>
      </c>
      <c r="AW149" s="4">
        <v>1</v>
      </c>
      <c r="AX149">
        <f>((MAX($J149,1)*MIN($AE149/300,1)))*IF(D149="Wagon",50,10)</f>
        <v>0</v>
      </c>
      <c r="AY149">
        <f>VLOOKUP($E149,Constants!$I:$K, 2, FALSE)</f>
        <v>1</v>
      </c>
      <c r="AZ149">
        <f>VLOOKUP($E149,Constants!$I:$K, 3, FALSE)*IF(AND(D149="multiple_unit",Y149&lt;110),0.75,1)</f>
        <v>2</v>
      </c>
      <c r="BA149">
        <f>INT(POWER(((Constants!$G$2+$AT149+$AU149+$AV149+$AX149)*$AW149)*$AZ149, 1.05))+$AS149</f>
        <v>110</v>
      </c>
      <c r="BB149">
        <f>INT(((Constants!$G$1+$AT149+$AU149+$AV149+$AX149)*(1/$AW149))*$AY149)+$AR149</f>
        <v>74</v>
      </c>
      <c r="BL149" t="str">
        <f>VLOOKUP(G149,Eras!$A$2:$C$10, 2, TRUE)</f>
        <v>dsl</v>
      </c>
      <c r="BM149" t="s">
        <v>371</v>
      </c>
      <c r="BN149" t="str">
        <f>CONCATENATE(BL149,"_",BM149)</f>
        <v>dsl_Freight</v>
      </c>
      <c r="BO149" t="str">
        <f t="shared" si="8"/>
        <v/>
      </c>
      <c r="BP149" t="str">
        <f t="shared" si="9"/>
        <v/>
      </c>
      <c r="BQ149" t="s">
        <v>402</v>
      </c>
      <c r="BR149" t="str">
        <f t="shared" si="10"/>
        <v/>
      </c>
      <c r="BS149" t="str">
        <f t="shared" si="11"/>
        <v>{SILVER}The Class 37 (English Electric Type 3) is widely used, especially in Scotland where the high power, low axle load and lack of need for electrification make it ideal for hauling long trains in the Highlands.</v>
      </c>
    </row>
    <row r="150" spans="1:71" x14ac:dyDescent="0.25">
      <c r="A150" t="s">
        <v>59</v>
      </c>
      <c r="B150" t="s">
        <v>578</v>
      </c>
      <c r="C150">
        <v>316</v>
      </c>
      <c r="D150" t="s">
        <v>304</v>
      </c>
      <c r="E150" t="s">
        <v>314</v>
      </c>
      <c r="F150" t="s">
        <v>316</v>
      </c>
      <c r="G150">
        <v>1960</v>
      </c>
      <c r="H150">
        <v>1962</v>
      </c>
      <c r="I150">
        <v>1989</v>
      </c>
      <c r="K150">
        <v>2500</v>
      </c>
      <c r="T150">
        <v>135</v>
      </c>
      <c r="W150">
        <v>245</v>
      </c>
      <c r="X150" s="4">
        <f>IF(AND(T150&gt;0,W150&gt;0),(W150/((T150+U150)*10)),"")</f>
        <v>0.18148148148148149</v>
      </c>
      <c r="Y150">
        <v>90</v>
      </c>
      <c r="AA150">
        <v>20.7</v>
      </c>
      <c r="AB150">
        <v>20.7</v>
      </c>
      <c r="AD150">
        <v>3.91</v>
      </c>
      <c r="AE150" s="11">
        <v>0</v>
      </c>
      <c r="AF150" t="str">
        <f>CONCATENATE(VLOOKUP(AG150, 'Voxel Sizes'!$A$2:$B$18,2,FALSE),"x",INT(AC150*15), "x", INT(AD150*15))</f>
        <v>198x0x58</v>
      </c>
      <c r="AG150">
        <f>ROUND(15*((AB150*10)/256),0)</f>
        <v>12</v>
      </c>
      <c r="AI150" t="str">
        <f>CONCATENATE(VLOOKUP(AG150,Constants!$A$2:$C$16,IF(AH150&lt;&gt;"", 3, 2), FALSE),IF(AH150&lt;&gt;"",CONCATENATE(",",VLOOKUP(AH150,$B:$AI,34,FALSE)),""))</f>
        <v>4,4,4</v>
      </c>
      <c r="AP150">
        <v>40</v>
      </c>
      <c r="AQ150">
        <f>IF(I150&lt;&gt;"",MAX(8,(I150-G150)-4),"")</f>
        <v>25</v>
      </c>
      <c r="AT150">
        <f>MIN(Y150/150, 1)*30</f>
        <v>18</v>
      </c>
      <c r="AU150">
        <f>MIN(K150/4000, 1)*20</f>
        <v>12.5</v>
      </c>
      <c r="AV150">
        <f>MIN(W150/400,1)*20</f>
        <v>12.25</v>
      </c>
      <c r="AW150" s="4">
        <v>1</v>
      </c>
      <c r="AX150">
        <f>((MAX($J150,1)*MIN($AE150/300,1)))*IF(D150="Wagon",50,10)</f>
        <v>0</v>
      </c>
      <c r="AY150">
        <f>VLOOKUP($E150,Constants!$I:$K, 2, FALSE)</f>
        <v>1</v>
      </c>
      <c r="AZ150">
        <f>VLOOKUP($E150,Constants!$I:$K, 3, FALSE)*IF(AND(D150="multiple_unit",Y150&lt;110),0.75,1)</f>
        <v>2</v>
      </c>
      <c r="BA150">
        <f>INT(POWER(((Constants!$G$2+$AT150+$AU150+$AV150+$AX150)*$AW150)*$AZ150, 1.05))+$AS150</f>
        <v>119</v>
      </c>
      <c r="BB150">
        <f>INT(((Constants!$G$1+$AT150+$AU150+$AV150+$AX150)*(1/$AW150))*$AY150)+$AR150</f>
        <v>77</v>
      </c>
      <c r="BL150" t="str">
        <f>VLOOKUP(G150,Eras!$A$2:$C$10, 2, TRUE)</f>
        <v>dsl</v>
      </c>
      <c r="BM150" t="s">
        <v>370</v>
      </c>
      <c r="BN150" t="str">
        <f>CONCATENATE(BL150,"_",BM150)</f>
        <v>dsl_Express</v>
      </c>
      <c r="BO150" t="str">
        <f t="shared" si="8"/>
        <v/>
      </c>
      <c r="BP150" t="str">
        <f t="shared" si="9"/>
        <v/>
      </c>
      <c r="BQ150" t="s">
        <v>577</v>
      </c>
      <c r="BR150" t="str">
        <f t="shared" si="10"/>
        <v/>
      </c>
      <c r="BS150" t="str">
        <f t="shared" si="11"/>
        <v>{SILVER}The Sulzer Peaks served express passenger trains on the Midland Main Line until the introduction of the HST.</v>
      </c>
    </row>
    <row r="151" spans="1:71" x14ac:dyDescent="0.25">
      <c r="A151" t="s">
        <v>60</v>
      </c>
      <c r="B151" t="s">
        <v>580</v>
      </c>
      <c r="C151">
        <v>318</v>
      </c>
      <c r="D151" t="s">
        <v>304</v>
      </c>
      <c r="E151" t="s">
        <v>314</v>
      </c>
      <c r="F151" t="s">
        <v>316</v>
      </c>
      <c r="G151">
        <v>1960</v>
      </c>
      <c r="H151">
        <v>1962</v>
      </c>
      <c r="K151">
        <v>1550</v>
      </c>
      <c r="T151">
        <v>74.2</v>
      </c>
      <c r="W151">
        <v>200</v>
      </c>
      <c r="X151" s="4">
        <f>IF(AND(T151&gt;0,W151&gt;0),(W151/((T151+U151)*10)),"")</f>
        <v>0.26954177897574122</v>
      </c>
      <c r="Y151">
        <v>85</v>
      </c>
      <c r="AA151">
        <v>15.47</v>
      </c>
      <c r="AB151">
        <v>15.47</v>
      </c>
      <c r="AD151">
        <v>3.86</v>
      </c>
      <c r="AE151" s="11">
        <v>0</v>
      </c>
      <c r="AF151" t="str">
        <f>CONCATENATE(VLOOKUP(AG151, 'Voxel Sizes'!$A$2:$B$18,2,FALSE),"x",INT(AC151*15), "x", INT(AD151*15))</f>
        <v>152x0x57</v>
      </c>
      <c r="AG151">
        <f>ROUND(15*((AB151*10)/256),0)</f>
        <v>9</v>
      </c>
      <c r="AI151" t="str">
        <f>CONCATENATE(VLOOKUP(AG151,Constants!$A$2:$C$16,IF(AH151&lt;&gt;"", 3, 2), FALSE),IF(AH151&lt;&gt;"",CONCATENATE(",",VLOOKUP(AH151,$B:$AI,34,FALSE)),""))</f>
        <v>2,5,2</v>
      </c>
      <c r="AP151">
        <v>40</v>
      </c>
      <c r="AQ151" t="str">
        <f>IF(I151&lt;&gt;"",MAX(8,(I151-G151)-4),"")</f>
        <v/>
      </c>
      <c r="AT151">
        <f>MIN(Y151/150, 1)*30</f>
        <v>17</v>
      </c>
      <c r="AU151">
        <f>MIN(K151/4000, 1)*20</f>
        <v>7.75</v>
      </c>
      <c r="AV151">
        <f>MIN(W151/400,1)*20</f>
        <v>10</v>
      </c>
      <c r="AW151" s="4">
        <v>1</v>
      </c>
      <c r="AX151">
        <f>((MAX($J151,1)*MIN($AE151/300,1)))*IF(D151="Wagon",50,10)</f>
        <v>0</v>
      </c>
      <c r="AY151">
        <f>VLOOKUP($E151,Constants!$I:$K, 2, FALSE)</f>
        <v>1</v>
      </c>
      <c r="AZ151">
        <f>VLOOKUP($E151,Constants!$I:$K, 3, FALSE)*IF(AND(D151="multiple_unit",Y151&lt;110),0.75,1)</f>
        <v>2</v>
      </c>
      <c r="BA151">
        <f>INT(POWER(((Constants!$G$2+$AT151+$AU151+$AV151+$AX151)*$AW151)*$AZ151, 1.05))+$AS151</f>
        <v>98</v>
      </c>
      <c r="BB151">
        <f>INT(((Constants!$G$1+$AT151+$AU151+$AV151+$AX151)*(1/$AW151))*$AY151)+$AR151</f>
        <v>69</v>
      </c>
      <c r="BL151" t="str">
        <f>VLOOKUP(G151,Eras!$A$2:$C$10, 2, TRUE)</f>
        <v>dsl</v>
      </c>
      <c r="BM151" t="s">
        <v>369</v>
      </c>
      <c r="BN151" t="str">
        <f>CONCATENATE(BL151,"_",BM151)</f>
        <v>dsl_Mixed Traffic</v>
      </c>
      <c r="BO151" t="str">
        <f t="shared" si="8"/>
        <v/>
      </c>
      <c r="BP151" t="str">
        <f t="shared" si="9"/>
        <v/>
      </c>
      <c r="BQ151" t="s">
        <v>579</v>
      </c>
      <c r="BR151" t="str">
        <f t="shared" si="10"/>
        <v/>
      </c>
      <c r="BS151" t="str">
        <f t="shared" si="11"/>
        <v>{SILVER}The Class 33 was built without carriage heating, using the space for an 8 cylinder engine. This meant it was used for tourist-loaded passenger trains in summer, and freight in winter.</v>
      </c>
    </row>
    <row r="152" spans="1:71" x14ac:dyDescent="0.25">
      <c r="A152" t="s">
        <v>46</v>
      </c>
      <c r="B152" t="s">
        <v>201</v>
      </c>
      <c r="C152">
        <v>320</v>
      </c>
      <c r="D152" t="s">
        <v>304</v>
      </c>
      <c r="E152" t="s">
        <v>314</v>
      </c>
      <c r="F152" t="s">
        <v>316</v>
      </c>
      <c r="G152">
        <v>1961</v>
      </c>
      <c r="H152">
        <v>1964</v>
      </c>
      <c r="I152">
        <v>1975</v>
      </c>
      <c r="K152">
        <v>1700</v>
      </c>
      <c r="T152">
        <v>76.2</v>
      </c>
      <c r="W152">
        <v>207</v>
      </c>
      <c r="X152" s="4">
        <f>IF(AND(T152&gt;0,W152&gt;0),(W152/((T152+U152)*10)),"")</f>
        <v>0.27165354330708663</v>
      </c>
      <c r="Y152">
        <v>90</v>
      </c>
      <c r="AA152">
        <v>15.76</v>
      </c>
      <c r="AB152">
        <v>15.76</v>
      </c>
      <c r="AD152">
        <v>3.91</v>
      </c>
      <c r="AE152" s="11">
        <v>0</v>
      </c>
      <c r="AF152" t="str">
        <f>CONCATENATE(VLOOKUP(AG152, 'Voxel Sizes'!$A$2:$B$18,2,FALSE),"x",INT(AC152*15), "x", INT(AD152*15))</f>
        <v>152x0x58</v>
      </c>
      <c r="AG152">
        <f>ROUND(15*((AB152*10)/256),0)</f>
        <v>9</v>
      </c>
      <c r="AI152" t="str">
        <f>CONCATENATE(VLOOKUP(AG152,Constants!$A$2:$C$16,IF(AH152&lt;&gt;"", 3, 2), FALSE),IF(AH152&lt;&gt;"",CONCATENATE(",",VLOOKUP(AH152,$B:$AI,34,FALSE)),""))</f>
        <v>2,5,2</v>
      </c>
      <c r="AP152">
        <v>40</v>
      </c>
      <c r="AQ152">
        <f>IF(I152&lt;&gt;"",MAX(8,(I152-G152)-4),"")</f>
        <v>10</v>
      </c>
      <c r="AT152">
        <f>MIN(Y152/150, 1)*30</f>
        <v>18</v>
      </c>
      <c r="AU152">
        <f>MIN(K152/4000, 1)*20</f>
        <v>8.5</v>
      </c>
      <c r="AV152">
        <f>MIN(W152/400,1)*20</f>
        <v>10.35</v>
      </c>
      <c r="AW152" s="4">
        <v>1</v>
      </c>
      <c r="AX152">
        <f>((MAX($J152,1)*MIN($AE152/300,1)))*IF(D152="Wagon",50,10)</f>
        <v>0</v>
      </c>
      <c r="AY152">
        <f>VLOOKUP($E152,Constants!$I:$K, 2, FALSE)</f>
        <v>1</v>
      </c>
      <c r="AZ152">
        <f>VLOOKUP($E152,Constants!$I:$K, 3, FALSE)*IF(AND(D152="multiple_unit",Y152&lt;110),0.75,1)</f>
        <v>2</v>
      </c>
      <c r="BA152">
        <f>INT(POWER(((Constants!$G$2+$AT152+$AU152+$AV152+$AX152)*$AW152)*$AZ152, 1.05))+$AS152</f>
        <v>104</v>
      </c>
      <c r="BB152">
        <f>INT(((Constants!$G$1+$AT152+$AU152+$AV152+$AX152)*(1/$AW152))*$AY152)+$AR152</f>
        <v>71</v>
      </c>
      <c r="BL152" t="str">
        <f>VLOOKUP(G152,Eras!$A$2:$C$10, 2, TRUE)</f>
        <v>dsl</v>
      </c>
      <c r="BM152" t="s">
        <v>369</v>
      </c>
      <c r="BN152" t="str">
        <f>CONCATENATE(BL152,"_",BM152)</f>
        <v>dsl_Mixed Traffic</v>
      </c>
      <c r="BO152" t="str">
        <f t="shared" si="8"/>
        <v/>
      </c>
      <c r="BP152" t="str">
        <f t="shared" si="9"/>
        <v/>
      </c>
      <c r="BQ152" t="s">
        <v>585</v>
      </c>
      <c r="BR152" t="str">
        <f t="shared" si="10"/>
        <v/>
      </c>
      <c r="BS152" t="str">
        <f t="shared" si="11"/>
        <v>{SILVER}The Hymeks were named for their hydraulic transmission. Sadly this also caused their early withdrawal, with BR viewing diesel-hydraulics as non-standard.</v>
      </c>
    </row>
    <row r="153" spans="1:71" x14ac:dyDescent="0.25">
      <c r="A153" t="s">
        <v>48</v>
      </c>
      <c r="B153" t="s">
        <v>202</v>
      </c>
      <c r="C153">
        <v>322</v>
      </c>
      <c r="D153" t="s">
        <v>304</v>
      </c>
      <c r="E153" t="s">
        <v>314</v>
      </c>
      <c r="F153" t="s">
        <v>316</v>
      </c>
      <c r="G153">
        <v>1961</v>
      </c>
      <c r="H153">
        <v>1964</v>
      </c>
      <c r="I153">
        <v>1977</v>
      </c>
      <c r="K153">
        <v>2000</v>
      </c>
      <c r="T153">
        <v>110</v>
      </c>
      <c r="W153">
        <v>297</v>
      </c>
      <c r="X153" s="4">
        <f>IF(AND(T153&gt;0,W153&gt;0),(W153/((T153+U153)*10)),"")</f>
        <v>0.27</v>
      </c>
      <c r="Y153">
        <v>90</v>
      </c>
      <c r="AA153">
        <v>20.73</v>
      </c>
      <c r="AB153">
        <v>20.73</v>
      </c>
      <c r="AD153">
        <v>3.96</v>
      </c>
      <c r="AE153" s="11">
        <v>0</v>
      </c>
      <c r="AF153" t="str">
        <f>CONCATENATE(VLOOKUP(AG153, 'Voxel Sizes'!$A$2:$B$18,2,FALSE),"x",INT(AC153*15), "x", INT(AD153*15))</f>
        <v>198x0x59</v>
      </c>
      <c r="AG153">
        <f>ROUND(15*((AB153*10)/256),0)</f>
        <v>12</v>
      </c>
      <c r="AI153" t="str">
        <f>CONCATENATE(VLOOKUP(AG153,Constants!$A$2:$C$16,IF(AH153&lt;&gt;"", 3, 2), FALSE),IF(AH153&lt;&gt;"",CONCATENATE(",",VLOOKUP(AH153,$B:$AI,34,FALSE)),""))</f>
        <v>4,4,4</v>
      </c>
      <c r="AP153">
        <v>40</v>
      </c>
      <c r="AQ153">
        <f>IF(I153&lt;&gt;"",MAX(8,(I153-G153)-4),"")</f>
        <v>12</v>
      </c>
      <c r="AT153">
        <f>MIN(Y153/150, 1)*30</f>
        <v>18</v>
      </c>
      <c r="AU153">
        <f>MIN(K153/4000, 1)*20</f>
        <v>10</v>
      </c>
      <c r="AV153">
        <f>MIN(W153/400,1)*20</f>
        <v>14.850000000000001</v>
      </c>
      <c r="AW153" s="4">
        <v>1</v>
      </c>
      <c r="AX153">
        <f>((MAX($J153,1)*MIN($AE153/300,1)))*IF(D153="Wagon",50,10)</f>
        <v>0</v>
      </c>
      <c r="AY153">
        <f>VLOOKUP($E153,Constants!$I:$K, 2, FALSE)</f>
        <v>1</v>
      </c>
      <c r="AZ153">
        <f>VLOOKUP($E153,Constants!$I:$K, 3, FALSE)*IF(AND(D153="multiple_unit",Y153&lt;110),0.75,1)</f>
        <v>2</v>
      </c>
      <c r="BA153">
        <f>INT(POWER(((Constants!$G$2+$AT153+$AU153+$AV153+$AX153)*$AW153)*$AZ153, 1.05))+$AS153</f>
        <v>120</v>
      </c>
      <c r="BB153">
        <f>INT(((Constants!$G$1+$AT153+$AU153+$AV153+$AX153)*(1/$AW153))*$AY153)+$AR153</f>
        <v>77</v>
      </c>
      <c r="BL153" t="str">
        <f>VLOOKUP(G153,Eras!$A$2:$C$10, 2, TRUE)</f>
        <v>dsl</v>
      </c>
      <c r="BM153" t="s">
        <v>369</v>
      </c>
      <c r="BN153" t="str">
        <f>CONCATENATE(BL153,"_",BM153)</f>
        <v>dsl_Mixed Traffic</v>
      </c>
      <c r="BO153" t="str">
        <f t="shared" si="8"/>
        <v/>
      </c>
      <c r="BP153" t="str">
        <f t="shared" si="9"/>
        <v/>
      </c>
      <c r="BQ153" t="s">
        <v>586</v>
      </c>
      <c r="BR153" t="str">
        <f t="shared" si="10"/>
        <v/>
      </c>
      <c r="BS153" t="str">
        <f t="shared" si="11"/>
        <v>{SILVER}The Class 52 was the most powerful of the Western Region's diesel-hydraulic locomotives, pushing the limits of what 1960s transmission technology could achieve.</v>
      </c>
    </row>
    <row r="154" spans="1:71" x14ac:dyDescent="0.25">
      <c r="A154" t="s">
        <v>58</v>
      </c>
      <c r="B154" t="s">
        <v>347</v>
      </c>
      <c r="C154">
        <v>324</v>
      </c>
      <c r="D154" t="s">
        <v>304</v>
      </c>
      <c r="E154" t="s">
        <v>314</v>
      </c>
      <c r="F154" t="s">
        <v>316</v>
      </c>
      <c r="G154">
        <v>1961</v>
      </c>
      <c r="H154">
        <v>1967</v>
      </c>
      <c r="I154">
        <v>1987</v>
      </c>
      <c r="K154">
        <v>1250</v>
      </c>
      <c r="T154">
        <v>74.2</v>
      </c>
      <c r="W154">
        <v>170</v>
      </c>
      <c r="X154" s="4">
        <f>IF(AND(T154&gt;0,W154&gt;0),(W154/((T154+U154)*10)),"")</f>
        <v>0.22911051212938005</v>
      </c>
      <c r="Y154">
        <v>90</v>
      </c>
      <c r="AA154">
        <v>15.39</v>
      </c>
      <c r="AB154">
        <v>15.39</v>
      </c>
      <c r="AD154">
        <v>3.86</v>
      </c>
      <c r="AE154" s="11">
        <v>0</v>
      </c>
      <c r="AF154" t="str">
        <f>CONCATENATE(VLOOKUP(AG154, 'Voxel Sizes'!$A$2:$B$18,2,FALSE),"x",INT(AC154*15), "x", INT(AD154*15))</f>
        <v>152x0x57</v>
      </c>
      <c r="AG154">
        <f>ROUND(15*((AB154*10)/256),0)</f>
        <v>9</v>
      </c>
      <c r="AI154" t="str">
        <f>CONCATENATE(VLOOKUP(AG154,Constants!$A$2:$C$16,IF(AH154&lt;&gt;"", 3, 2), FALSE),IF(AH154&lt;&gt;"",CONCATENATE(",",VLOOKUP(AH154,$B:$AI,34,FALSE)),""))</f>
        <v>2,5,2</v>
      </c>
      <c r="AP154">
        <v>50</v>
      </c>
      <c r="AQ154">
        <f>IF(I154&lt;&gt;"",MAX(8,(I154-G154)-4),"")</f>
        <v>22</v>
      </c>
      <c r="AT154">
        <f>MIN(Y154/150, 1)*30</f>
        <v>18</v>
      </c>
      <c r="AU154">
        <f>MIN(K154/4000, 1)*20</f>
        <v>6.25</v>
      </c>
      <c r="AV154">
        <f>MIN(W154/400,1)*20</f>
        <v>8.5</v>
      </c>
      <c r="AW154" s="4">
        <v>1</v>
      </c>
      <c r="AX154">
        <f>((MAX($J154,1)*MIN($AE154/300,1)))*IF(D154="Wagon",50,10)</f>
        <v>0</v>
      </c>
      <c r="AY154">
        <f>VLOOKUP($E154,Constants!$I:$K, 2, FALSE)</f>
        <v>1</v>
      </c>
      <c r="AZ154">
        <f>VLOOKUP($E154,Constants!$I:$K, 3, FALSE)*IF(AND(D154="multiple_unit",Y154&lt;110),0.75,1)</f>
        <v>2</v>
      </c>
      <c r="BA154">
        <f>INT(POWER(((Constants!$G$2+$AT154+$AU154+$AV154+$AX154)*$AW154)*$AZ154, 1.05))+$AS154</f>
        <v>93</v>
      </c>
      <c r="BB154">
        <f>INT(((Constants!$G$1+$AT154+$AU154+$AV154+$AX154)*(1/$AW154))*$AY154)+$AR154</f>
        <v>67</v>
      </c>
      <c r="BL154" t="str">
        <f>VLOOKUP(G154,Eras!$A$2:$C$10, 2, TRUE)</f>
        <v>dsl</v>
      </c>
      <c r="BM154" t="s">
        <v>371</v>
      </c>
      <c r="BN154" t="str">
        <f>CONCATENATE(BL154,"_",BM154)</f>
        <v>dsl_Freight</v>
      </c>
      <c r="BO154" t="str">
        <f t="shared" si="8"/>
        <v/>
      </c>
      <c r="BP154" t="str">
        <f t="shared" si="9"/>
        <v/>
      </c>
      <c r="BQ154" t="s">
        <v>587</v>
      </c>
      <c r="BR154" t="str">
        <f t="shared" si="10"/>
        <v/>
      </c>
      <c r="BS154" t="str">
        <f t="shared" si="11"/>
        <v>{SILVER}The Class 25 locomotives became known as "Rats" because they were found all over the British Rail network.</v>
      </c>
    </row>
    <row r="155" spans="1:71" x14ac:dyDescent="0.25">
      <c r="A155" t="s">
        <v>592</v>
      </c>
      <c r="B155" t="s">
        <v>203</v>
      </c>
      <c r="C155">
        <v>326</v>
      </c>
      <c r="D155" t="s">
        <v>304</v>
      </c>
      <c r="E155" t="s">
        <v>314</v>
      </c>
      <c r="F155" t="s">
        <v>316</v>
      </c>
      <c r="G155">
        <v>1962</v>
      </c>
      <c r="H155">
        <v>1968</v>
      </c>
      <c r="K155">
        <v>2750</v>
      </c>
      <c r="T155">
        <v>114</v>
      </c>
      <c r="W155">
        <v>245</v>
      </c>
      <c r="X155" s="4">
        <f>IF(AND(T155&gt;0,W155&gt;0),(W155/((T155+U155)*10)),"")</f>
        <v>0.21491228070175439</v>
      </c>
      <c r="Y155">
        <v>95</v>
      </c>
      <c r="AA155">
        <v>19.38</v>
      </c>
      <c r="AB155">
        <v>19.38</v>
      </c>
      <c r="AD155">
        <v>3.9</v>
      </c>
      <c r="AE155" s="11">
        <v>0</v>
      </c>
      <c r="AF155" t="str">
        <f>CONCATENATE(VLOOKUP(AG155, 'Voxel Sizes'!$A$2:$B$18,2,FALSE),"x",INT(AC155*15), "x", INT(AD155*15))</f>
        <v>186x0x58</v>
      </c>
      <c r="AG155">
        <f>ROUND(15*((AB155*10)/256),0)</f>
        <v>11</v>
      </c>
      <c r="AI155" t="str">
        <f>CONCATENATE(VLOOKUP(AG155,Constants!$A$2:$C$16,IF(AH155&lt;&gt;"", 3, 2), FALSE),IF(AH155&lt;&gt;"",CONCATENATE(",",VLOOKUP(AH155,$B:$AI,34,FALSE)),""))</f>
        <v>4,3,4</v>
      </c>
      <c r="AP155">
        <v>43</v>
      </c>
      <c r="AQ155" t="str">
        <f>IF(I155&lt;&gt;"",MAX(8,(I155-G155)-4),"")</f>
        <v/>
      </c>
      <c r="AT155">
        <f>MIN(Y155/150, 1)*30</f>
        <v>19</v>
      </c>
      <c r="AU155">
        <f>MIN(K155/4000, 1)*20</f>
        <v>13.75</v>
      </c>
      <c r="AV155">
        <f>MIN(W155/400,1)*20</f>
        <v>12.25</v>
      </c>
      <c r="AW155" s="4">
        <v>1</v>
      </c>
      <c r="AX155">
        <f>((MAX($J155,1)*MIN($AE155/300,1)))*IF(D155="Wagon",50,10)</f>
        <v>0</v>
      </c>
      <c r="AY155">
        <f>VLOOKUP($E155,Constants!$I:$K, 2, FALSE)</f>
        <v>1</v>
      </c>
      <c r="AZ155">
        <f>VLOOKUP($E155,Constants!$I:$K, 3, FALSE)*IF(AND(D155="multiple_unit",Y155&lt;110),0.75,1)</f>
        <v>2</v>
      </c>
      <c r="BA155">
        <f>INT(POWER(((Constants!$G$2+$AT155+$AU155+$AV155+$AX155)*$AW155)*$AZ155, 1.05))+$AS155</f>
        <v>125</v>
      </c>
      <c r="BB155">
        <f>INT(((Constants!$G$1+$AT155+$AU155+$AV155+$AX155)*(1/$AW155))*$AY155)+$AR155</f>
        <v>80</v>
      </c>
      <c r="BL155" t="str">
        <f>VLOOKUP(G155,Eras!$A$2:$C$10, 2, TRUE)</f>
        <v>dsl</v>
      </c>
      <c r="BM155" t="s">
        <v>371</v>
      </c>
      <c r="BN155" t="str">
        <f>CONCATENATE(BL155,"_",BM155)</f>
        <v>dsl_Freight</v>
      </c>
      <c r="BO155" t="str">
        <f t="shared" si="8"/>
        <v/>
      </c>
      <c r="BP155" t="str">
        <f t="shared" si="9"/>
        <v/>
      </c>
      <c r="BQ155" t="s">
        <v>591</v>
      </c>
      <c r="BR155" t="str">
        <f t="shared" si="10"/>
        <v/>
      </c>
      <c r="BS155" t="str">
        <f t="shared" si="11"/>
        <v>{SILVER}The Class 47 diesel-electric arose from BR's desire for a lighter Type 4 (over 2000hp) locomotive, without using the diesel-hydraulic technology favoured by the Western Region.</v>
      </c>
    </row>
    <row r="156" spans="1:71" x14ac:dyDescent="0.25">
      <c r="A156" t="s">
        <v>63</v>
      </c>
      <c r="B156" t="s">
        <v>204</v>
      </c>
      <c r="C156">
        <v>328</v>
      </c>
      <c r="D156" t="s">
        <v>304</v>
      </c>
      <c r="E156" t="s">
        <v>314</v>
      </c>
      <c r="F156" t="s">
        <v>316</v>
      </c>
      <c r="G156">
        <v>1962</v>
      </c>
      <c r="H156">
        <v>1965</v>
      </c>
      <c r="I156">
        <v>1971</v>
      </c>
      <c r="K156">
        <v>900</v>
      </c>
      <c r="T156">
        <v>69</v>
      </c>
      <c r="W156">
        <v>178</v>
      </c>
      <c r="X156" s="4">
        <f>IF(AND(T156&gt;0,W156&gt;0),(W156/((T156+U156)*10)),"")</f>
        <v>0.25797101449275361</v>
      </c>
      <c r="Y156">
        <v>60</v>
      </c>
      <c r="AA156">
        <v>15.4</v>
      </c>
      <c r="AB156">
        <v>15.4</v>
      </c>
      <c r="AD156">
        <v>3.86</v>
      </c>
      <c r="AE156" s="11">
        <v>0</v>
      </c>
      <c r="AF156" t="str">
        <f>CONCATENATE(VLOOKUP(AG156, 'Voxel Sizes'!$A$2:$B$18,2,FALSE),"x",INT(AC156*15), "x", INT(AD156*15))</f>
        <v>152x0x57</v>
      </c>
      <c r="AG156">
        <f>ROUND(15*((AB156*10)/256),0)</f>
        <v>9</v>
      </c>
      <c r="AI156" t="str">
        <f>CONCATENATE(VLOOKUP(AG156,Constants!$A$2:$C$16,IF(AH156&lt;&gt;"", 3, 2), FALSE),IF(AH156&lt;&gt;"",CONCATENATE(",",VLOOKUP(AH156,$B:$AI,34,FALSE)),""))</f>
        <v>2,5,2</v>
      </c>
      <c r="AP156">
        <v>24</v>
      </c>
      <c r="AQ156">
        <f>IF(I156&lt;&gt;"",MAX(8,(I156-G156)-4),"")</f>
        <v>8</v>
      </c>
      <c r="AT156">
        <f>MIN(Y156/150, 1)*30</f>
        <v>12</v>
      </c>
      <c r="AU156">
        <f>MIN(K156/4000, 1)*20</f>
        <v>4.5</v>
      </c>
      <c r="AV156">
        <f>MIN(W156/400,1)*20</f>
        <v>8.9</v>
      </c>
      <c r="AW156" s="4">
        <v>1</v>
      </c>
      <c r="AX156">
        <f>((MAX($J156,1)*MIN($AE156/300,1)))*IF(D156="Wagon",50,10)</f>
        <v>0</v>
      </c>
      <c r="AY156">
        <f>VLOOKUP($E156,Constants!$I:$K, 2, FALSE)</f>
        <v>1</v>
      </c>
      <c r="AZ156">
        <f>VLOOKUP($E156,Constants!$I:$K, 3, FALSE)*IF(AND(D156="multiple_unit",Y156&lt;110),0.75,1)</f>
        <v>2</v>
      </c>
      <c r="BA156">
        <f>INT(POWER(((Constants!$G$2+$AT156+$AU156+$AV156+$AX156)*$AW156)*$AZ156, 1.05))+$AS156</f>
        <v>74</v>
      </c>
      <c r="BB156">
        <f>INT(((Constants!$G$1+$AT156+$AU156+$AV156+$AX156)*(1/$AW156))*$AY156)+$AR156</f>
        <v>60</v>
      </c>
      <c r="BL156" t="str">
        <f>VLOOKUP(G156,Eras!$A$2:$C$10, 2, TRUE)</f>
        <v>dsl</v>
      </c>
      <c r="BM156" t="s">
        <v>368</v>
      </c>
      <c r="BN156" t="str">
        <f>CONCATENATE(BL156,"_",BM156)</f>
        <v>dsl_Cheap</v>
      </c>
      <c r="BO156" t="str">
        <f t="shared" si="8"/>
        <v/>
      </c>
      <c r="BP156" t="str">
        <f t="shared" si="9"/>
        <v/>
      </c>
      <c r="BQ156" t="s">
        <v>593</v>
      </c>
      <c r="BR156" t="str">
        <f t="shared" si="10"/>
        <v/>
      </c>
      <c r="BS156" t="str">
        <f t="shared" si="11"/>
        <v>{SILVER}The Class 17 attempted to solve the problems of visibility from a single cab. It had an unsuccessful life beset by engine reliability problems, and all examples were withdrawn early.</v>
      </c>
    </row>
    <row r="157" spans="1:71" x14ac:dyDescent="0.25">
      <c r="A157" t="s">
        <v>62</v>
      </c>
      <c r="B157" t="s">
        <v>594</v>
      </c>
      <c r="C157">
        <v>330</v>
      </c>
      <c r="D157" t="s">
        <v>304</v>
      </c>
      <c r="E157" t="s">
        <v>314</v>
      </c>
      <c r="F157" t="s">
        <v>316</v>
      </c>
      <c r="G157">
        <v>1964</v>
      </c>
      <c r="H157">
        <v>1965</v>
      </c>
      <c r="I157">
        <v>1984</v>
      </c>
      <c r="K157">
        <v>650</v>
      </c>
      <c r="T157">
        <v>48.5</v>
      </c>
      <c r="W157">
        <v>137</v>
      </c>
      <c r="X157" s="4">
        <f>IF(AND(T157&gt;0,W157&gt;0),(W157/((T157+U157)*10)),"")</f>
        <v>0.28247422680412371</v>
      </c>
      <c r="Y157">
        <v>40</v>
      </c>
      <c r="AA157">
        <v>10.3</v>
      </c>
      <c r="AB157">
        <v>10.3</v>
      </c>
      <c r="AE157" s="11">
        <v>0</v>
      </c>
      <c r="AF157" t="str">
        <f>CONCATENATE(VLOOKUP(AG157, 'Voxel Sizes'!$A$2:$B$18,2,FALSE),"x",INT(AC157*15), "x", INT(AD157*15))</f>
        <v>102x0x0</v>
      </c>
      <c r="AG157">
        <f>ROUND(15*((AB157*10)/256),0)</f>
        <v>6</v>
      </c>
      <c r="AI157" t="str">
        <f>CONCATENATE(VLOOKUP(AG157,Constants!$A$2:$C$16,IF(AH157&lt;&gt;"", 3, 2), FALSE),IF(AH157&lt;&gt;"",CONCATENATE(",",VLOOKUP(AH157,$B:$AI,34,FALSE)),""))</f>
        <v>2,2,2</v>
      </c>
      <c r="AO157">
        <v>1</v>
      </c>
      <c r="AP157">
        <v>28</v>
      </c>
      <c r="AQ157">
        <f>IF(I157&lt;&gt;"",MAX(8,(I157-G157)-4),"")</f>
        <v>16</v>
      </c>
      <c r="AT157">
        <f>MIN(Y157/150, 1)*30</f>
        <v>8</v>
      </c>
      <c r="AU157">
        <f>MIN(K157/4000, 1)*20</f>
        <v>3.25</v>
      </c>
      <c r="AV157">
        <f>MIN(W157/400,1)*20</f>
        <v>6.8500000000000005</v>
      </c>
      <c r="AW157" s="4">
        <v>1</v>
      </c>
      <c r="AX157">
        <f>((MAX($J157,1)*MIN($AE157/300,1)))*IF(D157="Wagon",50,10)</f>
        <v>0</v>
      </c>
      <c r="AY157">
        <f>VLOOKUP($E157,Constants!$I:$K, 2, FALSE)</f>
        <v>1</v>
      </c>
      <c r="AZ157">
        <f>VLOOKUP($E157,Constants!$I:$K, 3, FALSE)*IF(AND(D157="multiple_unit",Y157&lt;110),0.75,1)</f>
        <v>2</v>
      </c>
      <c r="BA157">
        <f>INT(POWER(((Constants!$G$2+$AT157+$AU157+$AV157+$AX157)*$AW157)*$AZ157, 1.05))+$AS157</f>
        <v>55</v>
      </c>
      <c r="BB157">
        <f>INT(((Constants!$G$1+$AT157+$AU157+$AV157+$AX157)*(1/$AW157))*$AY157)+$AR157</f>
        <v>53</v>
      </c>
      <c r="BL157" t="str">
        <f>VLOOKUP(G157,Eras!$A$2:$C$10, 2, TRUE)</f>
        <v>dsl</v>
      </c>
      <c r="BM157" t="s">
        <v>368</v>
      </c>
      <c r="BN157" t="str">
        <f>CONCATENATE(BL157,"_",BM157)</f>
        <v>dsl_Cheap</v>
      </c>
      <c r="BO157" t="str">
        <f t="shared" si="8"/>
        <v/>
      </c>
      <c r="BP157" t="str">
        <f t="shared" si="9"/>
        <v/>
      </c>
      <c r="BQ157" t="s">
        <v>595</v>
      </c>
      <c r="BR157" t="str">
        <f t="shared" si="10"/>
        <v/>
      </c>
      <c r="BS157" t="str">
        <f t="shared" si="11"/>
        <v>{SILVER}BR envisaged a need  for small diesel locomotives to run short-distance freight trains, but by the end of the 1960s this need had evaporated. The Class 14s were sold to industry, and saw continued use on private railways.</v>
      </c>
    </row>
    <row r="158" spans="1:71" x14ac:dyDescent="0.25">
      <c r="A158" t="s">
        <v>64</v>
      </c>
      <c r="B158" t="s">
        <v>291</v>
      </c>
      <c r="C158">
        <v>332</v>
      </c>
      <c r="D158" t="s">
        <v>304</v>
      </c>
      <c r="E158" t="s">
        <v>596</v>
      </c>
      <c r="F158" t="s">
        <v>316</v>
      </c>
      <c r="G158">
        <v>1965</v>
      </c>
      <c r="H158">
        <v>1967</v>
      </c>
      <c r="K158">
        <v>1420</v>
      </c>
      <c r="L158" s="9">
        <v>600</v>
      </c>
      <c r="T158">
        <v>76.3</v>
      </c>
      <c r="W158">
        <v>186</v>
      </c>
      <c r="X158" s="4">
        <f>IF(AND(T158&gt;0,W158&gt;0),(W158/((T158+U158)*10)),"")</f>
        <v>0.24377457404980341</v>
      </c>
      <c r="Y158">
        <v>80</v>
      </c>
      <c r="AA158">
        <v>16.36</v>
      </c>
      <c r="AB158">
        <v>16.36</v>
      </c>
      <c r="AE158" s="11">
        <v>0</v>
      </c>
      <c r="AF158" t="str">
        <f>CONCATENATE(VLOOKUP(AG158, 'Voxel Sizes'!$A$2:$B$18,2,FALSE),"x",INT(AC158*15), "x", INT(AD158*15))</f>
        <v>164x0x0</v>
      </c>
      <c r="AG158">
        <f>ROUND(15*((AB158*10)/256),0)</f>
        <v>10</v>
      </c>
      <c r="AI158" t="str">
        <f>CONCATENATE(VLOOKUP(AG158,Constants!$A$2:$C$16,IF(AH158&lt;&gt;"", 3, 2), FALSE),IF(AH158&lt;&gt;"",CONCATENATE(",",VLOOKUP(AH158,$B:$AI,34,FALSE)),""))</f>
        <v>4,2,4</v>
      </c>
      <c r="AP158">
        <v>43</v>
      </c>
      <c r="AQ158" t="str">
        <f>IF(I158&lt;&gt;"",MAX(8,(I158-G158)-4),"")</f>
        <v/>
      </c>
      <c r="AT158">
        <f>MIN(Y158/150, 1)*30</f>
        <v>16</v>
      </c>
      <c r="AU158">
        <f>MIN(K158/4000, 1)*20</f>
        <v>7.1</v>
      </c>
      <c r="AV158">
        <f>MIN(W158/400,1)*20</f>
        <v>9.3000000000000007</v>
      </c>
      <c r="AW158" s="4">
        <v>1</v>
      </c>
      <c r="AX158">
        <f>((MAX($J158,1)*MIN($AE158/300,1)))*IF(D158="Wagon",50,10)</f>
        <v>0</v>
      </c>
      <c r="AY158">
        <f>VLOOKUP($E158,Constants!$I:$K, 2, FALSE)</f>
        <v>0.9</v>
      </c>
      <c r="AZ158">
        <f>VLOOKUP($E158,Constants!$I:$K, 3, FALSE)*IF(AND(D158="multiple_unit",Y158&lt;110),0.75,1)</f>
        <v>2.5</v>
      </c>
      <c r="BA158">
        <f>INT(POWER(((Constants!$G$2+$AT158+$AU158+$AV158+$AX158)*$AW158)*$AZ158, 1.05))+$AS158</f>
        <v>117</v>
      </c>
      <c r="BB158">
        <f>INT(((Constants!$G$1+$AT158+$AU158+$AV158+$AX158)*(1/$AW158))*$AY158)+$AR158</f>
        <v>60</v>
      </c>
      <c r="BL158" t="str">
        <f>VLOOKUP(G158,Eras!$A$2:$C$10, 2, TRUE)</f>
        <v>dsl</v>
      </c>
      <c r="BN158" t="str">
        <f>CONCATENATE(BL158,"_",BM158)</f>
        <v>dsl_</v>
      </c>
      <c r="BO158" t="str">
        <f t="shared" si="8"/>
        <v/>
      </c>
      <c r="BP158" t="str">
        <f t="shared" si="9"/>
        <v/>
      </c>
      <c r="BQ158" t="s">
        <v>598</v>
      </c>
      <c r="BR158" t="str">
        <f t="shared" si="10"/>
        <v/>
      </c>
      <c r="BS158" t="str">
        <f t="shared" si="11"/>
        <v>{SILVER}The Class 73 is a dual-power locomotive, running at full power when connected to a third rail supply but carrying a small diesel engine for running on non-electrified track.</v>
      </c>
    </row>
    <row r="159" spans="1:71" x14ac:dyDescent="0.25">
      <c r="A159" t="s">
        <v>71</v>
      </c>
      <c r="B159" t="s">
        <v>292</v>
      </c>
      <c r="C159">
        <v>334</v>
      </c>
      <c r="D159" t="s">
        <v>304</v>
      </c>
      <c r="E159" t="s">
        <v>338</v>
      </c>
      <c r="F159" t="s">
        <v>339</v>
      </c>
      <c r="G159">
        <v>1965</v>
      </c>
      <c r="H159">
        <v>1966</v>
      </c>
      <c r="K159">
        <v>3600</v>
      </c>
      <c r="T159">
        <v>82</v>
      </c>
      <c r="W159">
        <v>267</v>
      </c>
      <c r="X159" s="4">
        <f>IF(AND(T159&gt;0,W159&gt;0),(W159/((T159+U159)*10)),"")</f>
        <v>0.32560975609756099</v>
      </c>
      <c r="Y159">
        <v>100</v>
      </c>
      <c r="AA159">
        <v>17.829999999999998</v>
      </c>
      <c r="AB159">
        <v>17.829999999999998</v>
      </c>
      <c r="AD159">
        <v>3.77</v>
      </c>
      <c r="AE159" s="11">
        <v>0</v>
      </c>
      <c r="AF159" t="str">
        <f>CONCATENATE(VLOOKUP(AG159, 'Voxel Sizes'!$A$2:$B$18,2,FALSE),"x",INT(AC159*15), "x", INT(AD159*15))</f>
        <v>164x0x56</v>
      </c>
      <c r="AG159">
        <f>ROUND(15*((AB159*10)/256),0)</f>
        <v>10</v>
      </c>
      <c r="AI159" t="str">
        <f>CONCATENATE(VLOOKUP(AG159,Constants!$A$2:$C$16,IF(AH159&lt;&gt;"", 3, 2), FALSE),IF(AH159&lt;&gt;"",CONCATENATE(",",VLOOKUP(AH159,$B:$AI,34,FALSE)),""))</f>
        <v>4,2,4</v>
      </c>
      <c r="AP159">
        <v>47</v>
      </c>
      <c r="AQ159" t="str">
        <f>IF(I159&lt;&gt;"",MAX(8,(I159-G159)-4),"")</f>
        <v/>
      </c>
      <c r="AT159">
        <f>MIN(Y159/150, 1)*30</f>
        <v>20</v>
      </c>
      <c r="AU159">
        <f>MIN(K159/4000, 1)*20</f>
        <v>18</v>
      </c>
      <c r="AV159">
        <f>MIN(W159/400,1)*20</f>
        <v>13.35</v>
      </c>
      <c r="AW159" s="4">
        <v>1</v>
      </c>
      <c r="AX159">
        <f>((MAX($J159,1)*MIN($AE159/300,1)))*IF(D159="Wagon",50,10)</f>
        <v>0</v>
      </c>
      <c r="AY159">
        <f>VLOOKUP($E159,Constants!$I:$K, 2, FALSE)</f>
        <v>0.85</v>
      </c>
      <c r="AZ159">
        <f>VLOOKUP($E159,Constants!$I:$K, 3, FALSE)*IF(AND(D159="multiple_unit",Y159&lt;110),0.75,1)</f>
        <v>2.2999999999999998</v>
      </c>
      <c r="BA159">
        <f>INT(POWER(((Constants!$G$2+$AT159+$AU159+$AV159+$AX159)*$AW159)*$AZ159, 1.05))+$AS159</f>
        <v>165</v>
      </c>
      <c r="BB159">
        <f>INT(((Constants!$G$1+$AT159+$AU159+$AV159+$AX159)*(1/$AW159))*$AY159)+$AR159</f>
        <v>73</v>
      </c>
      <c r="BL159" t="str">
        <f>VLOOKUP(G159,Eras!$A$2:$C$10, 2, TRUE)</f>
        <v>dsl</v>
      </c>
      <c r="BM159" t="s">
        <v>380</v>
      </c>
      <c r="BN159" t="str">
        <f>CONCATENATE(BL159,"_",BM159)</f>
        <v>dsl_Express (Electric)</v>
      </c>
      <c r="BO159" t="str">
        <f t="shared" si="8"/>
        <v/>
      </c>
      <c r="BP159" t="str">
        <f t="shared" si="9"/>
        <v/>
      </c>
      <c r="BQ159" t="s">
        <v>574</v>
      </c>
      <c r="BR159" t="str">
        <f t="shared" si="10"/>
        <v/>
      </c>
      <c r="BS159" t="str">
        <f t="shared" si="11"/>
        <v>{SILVER}The Class 86 (originally AL6) was BR's first standard electric locomotive, incorporating experience from prototypes such as the Class 81.</v>
      </c>
    </row>
    <row r="160" spans="1:71" x14ac:dyDescent="0.25">
      <c r="A160" t="s">
        <v>54</v>
      </c>
      <c r="B160" t="s">
        <v>205</v>
      </c>
      <c r="C160">
        <v>336</v>
      </c>
      <c r="D160" t="s">
        <v>304</v>
      </c>
      <c r="E160" t="s">
        <v>314</v>
      </c>
      <c r="F160" t="s">
        <v>316</v>
      </c>
      <c r="G160">
        <v>1967</v>
      </c>
      <c r="H160">
        <v>1968</v>
      </c>
      <c r="I160">
        <v>1994</v>
      </c>
      <c r="K160">
        <v>2700</v>
      </c>
      <c r="T160">
        <v>117</v>
      </c>
      <c r="W160">
        <v>216</v>
      </c>
      <c r="X160" s="4">
        <f>IF(AND(T160&gt;0,W160&gt;0),(W160/((T160+U160)*10)),"")</f>
        <v>0.18461538461538463</v>
      </c>
      <c r="Y160">
        <v>100</v>
      </c>
      <c r="AA160">
        <v>20.88</v>
      </c>
      <c r="AB160">
        <v>20.88</v>
      </c>
      <c r="AD160">
        <v>3.89</v>
      </c>
      <c r="AE160" s="11">
        <v>0</v>
      </c>
      <c r="AF160" t="str">
        <f>CONCATENATE(VLOOKUP(AG160, 'Voxel Sizes'!$A$2:$B$18,2,FALSE),"x",INT(AC160*15), "x", INT(AD160*15))</f>
        <v>198x0x58</v>
      </c>
      <c r="AG160">
        <f>ROUND(15*((AB160*10)/256),0)</f>
        <v>12</v>
      </c>
      <c r="AI160" t="str">
        <f>CONCATENATE(VLOOKUP(AG160,Constants!$A$2:$C$16,IF(AH160&lt;&gt;"", 3, 2), FALSE),IF(AH160&lt;&gt;"",CONCATENATE(",",VLOOKUP(AH160,$B:$AI,34,FALSE)),""))</f>
        <v>4,4,4</v>
      </c>
      <c r="AP160">
        <v>40</v>
      </c>
      <c r="AQ160">
        <f>IF(I160&lt;&gt;"",MAX(8,(I160-G160)-4),"")</f>
        <v>23</v>
      </c>
      <c r="AT160">
        <f>MIN(Y160/150, 1)*30</f>
        <v>20</v>
      </c>
      <c r="AU160">
        <f>MIN(K160/4000, 1)*20</f>
        <v>13.5</v>
      </c>
      <c r="AV160">
        <f>MIN(W160/400,1)*20</f>
        <v>10.8</v>
      </c>
      <c r="AW160" s="4">
        <v>1</v>
      </c>
      <c r="AX160">
        <f>((MAX($J160,1)*MIN($AE160/300,1)))*IF(D160="Wagon",50,10)</f>
        <v>0</v>
      </c>
      <c r="AY160">
        <f>VLOOKUP($E160,Constants!$I:$K, 2, FALSE)</f>
        <v>1</v>
      </c>
      <c r="AZ160">
        <f>VLOOKUP($E160,Constants!$I:$K, 3, FALSE)*IF(AND(D160="multiple_unit",Y160&lt;110),0.75,1)</f>
        <v>2</v>
      </c>
      <c r="BA160">
        <f>INT(POWER(((Constants!$G$2+$AT160+$AU160+$AV160+$AX160)*$AW160)*$AZ160, 1.05))+$AS160</f>
        <v>124</v>
      </c>
      <c r="BB160">
        <f>INT(((Constants!$G$1+$AT160+$AU160+$AV160+$AX160)*(1/$AW160))*$AY160)+$AR160</f>
        <v>79</v>
      </c>
      <c r="BL160" t="str">
        <f>VLOOKUP(G160,Eras!$A$2:$C$10, 2, TRUE)</f>
        <v>dsl</v>
      </c>
      <c r="BM160" t="s">
        <v>370</v>
      </c>
      <c r="BN160" t="str">
        <f>CONCATENATE(BL160,"_",BM160)</f>
        <v>dsl_Express</v>
      </c>
      <c r="BO160" t="str">
        <f t="shared" si="8"/>
        <v/>
      </c>
      <c r="BP160" t="str">
        <f t="shared" si="9"/>
        <v/>
      </c>
      <c r="BQ160" t="s">
        <v>599</v>
      </c>
      <c r="BR160" t="str">
        <f t="shared" si="10"/>
        <v/>
      </c>
      <c r="BS160" t="str">
        <f t="shared" si="11"/>
        <v>{SILVER}The Class 50 hauled express services on the West Coast Main Line until electrification, at which point they were used to replace diesel-hydraulic engines in the Western Region.</v>
      </c>
    </row>
    <row r="161" spans="1:71" x14ac:dyDescent="0.25">
      <c r="A161" t="s">
        <v>72</v>
      </c>
      <c r="B161" t="s">
        <v>206</v>
      </c>
      <c r="C161">
        <v>338</v>
      </c>
      <c r="D161" t="s">
        <v>304</v>
      </c>
      <c r="E161" t="s">
        <v>338</v>
      </c>
      <c r="F161" t="s">
        <v>316</v>
      </c>
      <c r="G161">
        <v>1973</v>
      </c>
      <c r="H161">
        <v>1975</v>
      </c>
      <c r="I161">
        <v>2006</v>
      </c>
      <c r="K161">
        <v>5000</v>
      </c>
      <c r="T161">
        <v>81</v>
      </c>
      <c r="W161">
        <v>258</v>
      </c>
      <c r="X161" s="4">
        <f>IF(AND(T161&gt;0,W161&gt;0),(W161/((T161+U161)*10)),"")</f>
        <v>0.31851851851851853</v>
      </c>
      <c r="Y161">
        <v>110</v>
      </c>
      <c r="AA161">
        <v>17.829999999999998</v>
      </c>
      <c r="AB161">
        <v>17.829999999999998</v>
      </c>
      <c r="AD161">
        <v>3.77</v>
      </c>
      <c r="AE161" s="11">
        <v>0</v>
      </c>
      <c r="AF161" t="str">
        <f>CONCATENATE(VLOOKUP(AG161, 'Voxel Sizes'!$A$2:$B$18,2,FALSE),"x",INT(AC161*15), "x", INT(AD161*15))</f>
        <v>164x0x56</v>
      </c>
      <c r="AG161">
        <f>ROUND(15*((AB161*10)/256),0)</f>
        <v>10</v>
      </c>
      <c r="AI161" t="str">
        <f>CONCATENATE(VLOOKUP(AG161,Constants!$A$2:$C$16,IF(AH161&lt;&gt;"", 3, 2), FALSE),IF(AH161&lt;&gt;"",CONCATENATE(",",VLOOKUP(AH161,$B:$AI,34,FALSE)),""))</f>
        <v>4,2,4</v>
      </c>
      <c r="AP161">
        <v>40</v>
      </c>
      <c r="AQ161">
        <f>IF(I161&lt;&gt;"",MAX(8,(I161-G161)-4),"")</f>
        <v>29</v>
      </c>
      <c r="AT161">
        <f>MIN(Y161/150, 1)*30</f>
        <v>22</v>
      </c>
      <c r="AU161">
        <f>MIN(K161/4000, 1)*20</f>
        <v>20</v>
      </c>
      <c r="AV161">
        <f>MIN(W161/400,1)*20</f>
        <v>12.9</v>
      </c>
      <c r="AW161" s="4">
        <v>1</v>
      </c>
      <c r="AX161">
        <f>((MAX($J161,1)*MIN($AE161/300,1)))*IF(D161="Wagon",50,10)</f>
        <v>0</v>
      </c>
      <c r="AY161">
        <f>VLOOKUP($E161,Constants!$I:$K, 2, FALSE)</f>
        <v>0.85</v>
      </c>
      <c r="AZ161">
        <f>VLOOKUP($E161,Constants!$I:$K, 3, FALSE)*IF(AND(D161="multiple_unit",Y161&lt;110),0.75,1)</f>
        <v>2.2999999999999998</v>
      </c>
      <c r="BA161">
        <f>INT(POWER(((Constants!$G$2+$AT161+$AU161+$AV161+$AX161)*$AW161)*$AZ161, 1.05))+$AS161</f>
        <v>176</v>
      </c>
      <c r="BB161">
        <f>INT(((Constants!$G$1+$AT161+$AU161+$AV161+$AX161)*(1/$AW161))*$AY161)+$AR161</f>
        <v>76</v>
      </c>
      <c r="BL161" t="str">
        <f>VLOOKUP(G161,Eras!$A$2:$C$10, 2, TRUE)</f>
        <v>lbr</v>
      </c>
      <c r="BM161" t="s">
        <v>380</v>
      </c>
      <c r="BN161" t="str">
        <f>CONCATENATE(BL161,"_",BM161)</f>
        <v>lbr_Express (Electric)</v>
      </c>
      <c r="BO161" t="str">
        <f t="shared" si="8"/>
        <v/>
      </c>
      <c r="BP161" t="str">
        <f t="shared" si="9"/>
        <v/>
      </c>
      <c r="BQ161" t="s">
        <v>600</v>
      </c>
      <c r="BR161" t="str">
        <f t="shared" si="10"/>
        <v/>
      </c>
      <c r="BS161" t="str">
        <f t="shared" si="11"/>
        <v>{SILVER}The Class 87 was a further development of the Class 86 with even more power and performance, serving as the flagship of the British Rail electric fleet.</v>
      </c>
    </row>
    <row r="162" spans="1:71" x14ac:dyDescent="0.25">
      <c r="A162" t="s">
        <v>45</v>
      </c>
      <c r="B162" t="s">
        <v>348</v>
      </c>
      <c r="C162">
        <v>340</v>
      </c>
      <c r="D162" t="s">
        <v>304</v>
      </c>
      <c r="E162" t="s">
        <v>314</v>
      </c>
      <c r="F162" t="s">
        <v>316</v>
      </c>
      <c r="G162">
        <v>1975</v>
      </c>
      <c r="H162">
        <v>1982</v>
      </c>
      <c r="I162">
        <v>2021</v>
      </c>
      <c r="K162">
        <v>1770</v>
      </c>
      <c r="T162">
        <v>70.25</v>
      </c>
      <c r="W162">
        <v>160</v>
      </c>
      <c r="X162" s="4">
        <f>IF(AND(T162&gt;0,W162&gt;0),(W162/((T162+U162)*10)),"")</f>
        <v>0.22775800711743771</v>
      </c>
      <c r="Y162">
        <v>125</v>
      </c>
      <c r="AA162">
        <v>17.79</v>
      </c>
      <c r="AB162">
        <v>17.79</v>
      </c>
      <c r="AE162" s="11">
        <v>0</v>
      </c>
      <c r="AF162" t="str">
        <f>CONCATENATE(VLOOKUP(AG162, 'Voxel Sizes'!$A$2:$B$18,2,FALSE),"x",INT(AC162*15), "x", INT(AD162*15))</f>
        <v>164x0x0</v>
      </c>
      <c r="AG162">
        <f>ROUND(15*((AB162*10)/256),0)</f>
        <v>10</v>
      </c>
      <c r="AI162" t="str">
        <f>CONCATENATE(VLOOKUP(AG162,Constants!$A$2:$C$16,IF(AH162&lt;&gt;"", 3, 2), FALSE),IF(AH162&lt;&gt;"",CONCATENATE(",",VLOOKUP(AH162,$B:$AI,34,FALSE)),""))</f>
        <v>4,2,4</v>
      </c>
      <c r="AP162">
        <v>45</v>
      </c>
      <c r="AQ162">
        <f>IF(I162&lt;&gt;"",MAX(8,(I162-G162)-4),"")</f>
        <v>42</v>
      </c>
      <c r="AT162">
        <f>MIN(Y162/150, 1)*30</f>
        <v>25</v>
      </c>
      <c r="AU162">
        <f>MIN(K162/4000, 1)*20</f>
        <v>8.85</v>
      </c>
      <c r="AV162">
        <f>MIN(W162/400,1)*20</f>
        <v>8</v>
      </c>
      <c r="AW162" s="4">
        <v>1</v>
      </c>
      <c r="AX162">
        <f>((MAX($J162,1)*MIN($AE162/300,1)))*IF(D162="Wagon",50,10)</f>
        <v>0</v>
      </c>
      <c r="AY162">
        <f>VLOOKUP($E162,Constants!$I:$K, 2, FALSE)</f>
        <v>1</v>
      </c>
      <c r="AZ162">
        <f>VLOOKUP($E162,Constants!$I:$K, 3, FALSE)*IF(AND(D162="multiple_unit",Y162&lt;110),0.75,1)</f>
        <v>2</v>
      </c>
      <c r="BA162">
        <f>INT(POWER(((Constants!$G$2+$AT162+$AU162+$AV162+$AX162)*$AW162)*$AZ162, 1.05))+$AS162</f>
        <v>117</v>
      </c>
      <c r="BB162">
        <f>INT(((Constants!$G$1+$AT162+$AU162+$AV162+$AX162)*(1/$AW162))*$AY162)+$AR162</f>
        <v>76</v>
      </c>
      <c r="BC162">
        <v>1</v>
      </c>
      <c r="BH162">
        <v>1</v>
      </c>
      <c r="BL162" t="str">
        <f>VLOOKUP(G162,Eras!$A$2:$C$10, 2, TRUE)</f>
        <v>lbr</v>
      </c>
      <c r="BM162" t="s">
        <v>370</v>
      </c>
      <c r="BN162" t="str">
        <f>CONCATENATE(BL162,"_",BM162)</f>
        <v>lbr_Express</v>
      </c>
      <c r="BO162" t="str">
        <f t="shared" si="8"/>
        <v/>
      </c>
      <c r="BP162" t="str">
        <f t="shared" si="9"/>
        <v/>
      </c>
      <c r="BQ162" t="s">
        <v>408</v>
      </c>
      <c r="BR162" t="str">
        <f t="shared" si="10"/>
        <v/>
      </c>
      <c r="BS162" t="str">
        <f t="shared" si="11"/>
        <v>{SILVER}The Class 43 HST is a high-speed diesel-electric locomotive, also known as the Intercity 125 for its 125mph service speed and intended use on long routes between cities.</v>
      </c>
    </row>
    <row r="163" spans="1:71" x14ac:dyDescent="0.25">
      <c r="A163" t="s">
        <v>601</v>
      </c>
      <c r="B163" t="s">
        <v>603</v>
      </c>
      <c r="C163">
        <v>342</v>
      </c>
      <c r="D163" t="s">
        <v>304</v>
      </c>
      <c r="E163" t="s">
        <v>314</v>
      </c>
      <c r="F163" t="s">
        <v>316</v>
      </c>
      <c r="G163">
        <v>1976</v>
      </c>
      <c r="H163">
        <v>1984</v>
      </c>
      <c r="K163">
        <v>3250</v>
      </c>
      <c r="T163">
        <v>125</v>
      </c>
      <c r="W163">
        <v>275</v>
      </c>
      <c r="X163" s="4">
        <f>IF(AND(T163&gt;0,W163&gt;0),(W163/((T163+U163)*10)),"")</f>
        <v>0.22</v>
      </c>
      <c r="Y163">
        <v>80</v>
      </c>
      <c r="AA163">
        <v>19.350000000000001</v>
      </c>
      <c r="AB163">
        <v>19.350000000000001</v>
      </c>
      <c r="AD163">
        <v>3.89</v>
      </c>
      <c r="AE163" s="11">
        <v>0</v>
      </c>
      <c r="AF163" t="str">
        <f>CONCATENATE(VLOOKUP(AG163, 'Voxel Sizes'!$A$2:$B$18,2,FALSE),"x",INT(AC163*15), "x", INT(AD163*15))</f>
        <v>186x0x58</v>
      </c>
      <c r="AG163">
        <f>ROUND(15*((AB163*10)/256),0)</f>
        <v>11</v>
      </c>
      <c r="AI163" t="str">
        <f>CONCATENATE(VLOOKUP(AG163,Constants!$A$2:$C$16,IF(AH163&lt;&gt;"", 3, 2), FALSE),IF(AH163&lt;&gt;"",CONCATENATE(",",VLOOKUP(AH163,$B:$AI,34,FALSE)),""))</f>
        <v>4,3,4</v>
      </c>
      <c r="AP163">
        <v>40</v>
      </c>
      <c r="AQ163" t="str">
        <f>IF(I163&lt;&gt;"",MAX(8,(I163-G163)-4),"")</f>
        <v/>
      </c>
      <c r="AT163">
        <f>MIN(Y163/150, 1)*30</f>
        <v>16</v>
      </c>
      <c r="AU163">
        <f>MIN(K163/4000, 1)*20</f>
        <v>16.25</v>
      </c>
      <c r="AV163">
        <f>MIN(W163/400,1)*20</f>
        <v>13.75</v>
      </c>
      <c r="AW163" s="4">
        <v>1</v>
      </c>
      <c r="AX163">
        <f>((MAX($J163,1)*MIN($AE163/300,1)))*IF(D163="Wagon",50,10)</f>
        <v>0</v>
      </c>
      <c r="AY163">
        <f>VLOOKUP($E163,Constants!$I:$K, 2, FALSE)</f>
        <v>1</v>
      </c>
      <c r="AZ163">
        <f>VLOOKUP($E163,Constants!$I:$K, 3, FALSE)*IF(AND(D163="multiple_unit",Y163&lt;110),0.75,1)</f>
        <v>2</v>
      </c>
      <c r="BA163">
        <f>INT(POWER(((Constants!$G$2+$AT163+$AU163+$AV163+$AX163)*$AW163)*$AZ163, 1.05))+$AS163</f>
        <v>128</v>
      </c>
      <c r="BB163">
        <f>INT(((Constants!$G$1+$AT163+$AU163+$AV163+$AX163)*(1/$AW163))*$AY163)+$AR163</f>
        <v>81</v>
      </c>
      <c r="BL163" t="str">
        <f>VLOOKUP(G163,Eras!$A$2:$C$10, 2, TRUE)</f>
        <v>lbr</v>
      </c>
      <c r="BM163" t="s">
        <v>371</v>
      </c>
      <c r="BN163" t="str">
        <f>CONCATENATE(BL163,"_",BM163)</f>
        <v>lbr_Freight</v>
      </c>
      <c r="BO163" t="str">
        <f t="shared" si="8"/>
        <v/>
      </c>
      <c r="BP163" t="str">
        <f t="shared" si="9"/>
        <v/>
      </c>
      <c r="BQ163" t="s">
        <v>602</v>
      </c>
      <c r="BR163" t="str">
        <f t="shared" si="10"/>
        <v/>
      </c>
      <c r="BS163" t="str">
        <f t="shared" si="11"/>
        <v>{SILVER}The Class 56 is designed for heavy freight work. It contains many improvements to the electric drivetrain compared to earlier diesel-electric locomotives, making it more reliable and easier to operate.</v>
      </c>
    </row>
    <row r="164" spans="1:71" x14ac:dyDescent="0.25">
      <c r="A164" t="s">
        <v>55</v>
      </c>
      <c r="B164" t="s">
        <v>614</v>
      </c>
      <c r="C164">
        <v>344</v>
      </c>
      <c r="D164" t="s">
        <v>304</v>
      </c>
      <c r="E164" t="s">
        <v>314</v>
      </c>
      <c r="F164" t="s">
        <v>316</v>
      </c>
      <c r="G164">
        <v>1983</v>
      </c>
      <c r="H164">
        <v>1987</v>
      </c>
      <c r="K164">
        <v>3300</v>
      </c>
      <c r="T164">
        <v>130</v>
      </c>
      <c r="W164">
        <v>267</v>
      </c>
      <c r="X164" s="4">
        <f>IF(AND(T164&gt;0,W164&gt;0),(W164/((T164+U164)*10)),"")</f>
        <v>0.20538461538461539</v>
      </c>
      <c r="Y164">
        <v>80</v>
      </c>
      <c r="AA164">
        <v>19.13</v>
      </c>
      <c r="AB164">
        <v>19.13</v>
      </c>
      <c r="AD164">
        <v>3.91</v>
      </c>
      <c r="AE164" s="11">
        <v>0</v>
      </c>
      <c r="AF164" t="str">
        <f>CONCATENATE(VLOOKUP(AG164, 'Voxel Sizes'!$A$2:$B$18,2,FALSE),"x",INT(AC164*15), "x", INT(AD164*15))</f>
        <v>186x0x58</v>
      </c>
      <c r="AG164">
        <f>ROUND(15*((AB164*10)/256),0)</f>
        <v>11</v>
      </c>
      <c r="AI164" t="str">
        <f>CONCATENATE(VLOOKUP(AG164,Constants!$A$2:$C$16,IF(AH164&lt;&gt;"", 3, 2), FALSE),IF(AH164&lt;&gt;"",CONCATENATE(",",VLOOKUP(AH164,$B:$AI,34,FALSE)),""))</f>
        <v>4,3,4</v>
      </c>
      <c r="AP164">
        <v>40</v>
      </c>
      <c r="AQ164" t="str">
        <f>IF(I164&lt;&gt;"",MAX(8,(I164-G164)-4),"")</f>
        <v/>
      </c>
      <c r="AT164">
        <f>MIN(Y164/150, 1)*30</f>
        <v>16</v>
      </c>
      <c r="AU164">
        <f>MIN(K164/4000, 1)*20</f>
        <v>16.5</v>
      </c>
      <c r="AV164">
        <f>MIN(W164/400,1)*20</f>
        <v>13.35</v>
      </c>
      <c r="AW164" s="4">
        <v>1</v>
      </c>
      <c r="AX164">
        <f>((MAX($J164,1)*MIN($AE164/300,1)))*IF(D164="Wagon",50,10)</f>
        <v>0</v>
      </c>
      <c r="AY164">
        <f>VLOOKUP($E164,Constants!$I:$K, 2, FALSE)</f>
        <v>1</v>
      </c>
      <c r="AZ164">
        <f>VLOOKUP($E164,Constants!$I:$K, 3, FALSE)*IF(AND(D164="multiple_unit",Y164&lt;110),0.75,1)</f>
        <v>2</v>
      </c>
      <c r="BA164">
        <f>INT(POWER(((Constants!$G$2+$AT164+$AU164+$AV164+$AX164)*$AW164)*$AZ164, 1.05))+$AS164</f>
        <v>128</v>
      </c>
      <c r="BB164">
        <f>INT(((Constants!$G$1+$AT164+$AU164+$AV164+$AX164)*(1/$AW164))*$AY164)+$AR164</f>
        <v>80</v>
      </c>
      <c r="BL164" t="str">
        <f>VLOOKUP(G164,Eras!$A$2:$C$10, 2, TRUE)</f>
        <v>lbr</v>
      </c>
      <c r="BM164" t="s">
        <v>371</v>
      </c>
      <c r="BN164" t="str">
        <f>CONCATENATE(BL164,"_",BM164)</f>
        <v>lbr_Freight</v>
      </c>
      <c r="BO164" t="str">
        <f t="shared" si="8"/>
        <v/>
      </c>
      <c r="BP164" t="str">
        <f t="shared" si="9"/>
        <v/>
      </c>
      <c r="BQ164" t="s">
        <v>613</v>
      </c>
      <c r="BR164" t="str">
        <f t="shared" si="10"/>
        <v/>
      </c>
      <c r="BS164" t="str">
        <f t="shared" si="11"/>
        <v>{SILVER}The Class 58 used a modular design with replaceable modules mounted to an underframe. It was nicknamed "Bone" after the narrow central section.</v>
      </c>
    </row>
    <row r="165" spans="1:71" x14ac:dyDescent="0.25">
      <c r="A165" t="s">
        <v>44</v>
      </c>
      <c r="B165" t="s">
        <v>207</v>
      </c>
      <c r="C165">
        <v>346</v>
      </c>
      <c r="D165" t="s">
        <v>304</v>
      </c>
      <c r="E165" t="s">
        <v>314</v>
      </c>
      <c r="F165" t="s">
        <v>316</v>
      </c>
      <c r="G165">
        <v>1985</v>
      </c>
      <c r="H165">
        <v>1995</v>
      </c>
      <c r="K165">
        <v>3300</v>
      </c>
      <c r="T165">
        <v>126</v>
      </c>
      <c r="W165">
        <v>290</v>
      </c>
      <c r="X165" s="4">
        <f>IF(AND(T165&gt;0,W165&gt;0),(W165/((T165+U165)*10)),"")</f>
        <v>0.23015873015873015</v>
      </c>
      <c r="Y165">
        <v>75</v>
      </c>
      <c r="AA165">
        <v>21.4</v>
      </c>
      <c r="AB165">
        <v>21.4</v>
      </c>
      <c r="AD165">
        <v>3.91</v>
      </c>
      <c r="AE165" s="11">
        <v>0</v>
      </c>
      <c r="AF165" t="str">
        <f>CONCATENATE(VLOOKUP(AG165, 'Voxel Sizes'!$A$2:$B$18,2,FALSE),"x",INT(AC165*15), "x", INT(AD165*15))</f>
        <v>214x0x58</v>
      </c>
      <c r="AG165">
        <f>ROUND(15*((AB165*10)/256),0)</f>
        <v>13</v>
      </c>
      <c r="AI165" t="str">
        <f>CONCATENATE(VLOOKUP(AG165,Constants!$A$2:$C$16,IF(AH165&lt;&gt;"", 3, 2), FALSE),IF(AH165&lt;&gt;"",CONCATENATE(",",VLOOKUP(AH165,$B:$AI,34,FALSE)),""))</f>
        <v>4,5,4</v>
      </c>
      <c r="AP165">
        <v>40</v>
      </c>
      <c r="AQ165" t="str">
        <f>IF(I165&lt;&gt;"",MAX(8,(I165-G165)-4),"")</f>
        <v/>
      </c>
      <c r="AT165">
        <f>MIN(Y165/150, 1)*30</f>
        <v>15</v>
      </c>
      <c r="AU165">
        <f>MIN(K165/4000, 1)*20</f>
        <v>16.5</v>
      </c>
      <c r="AV165">
        <f>MIN(W165/400,1)*20</f>
        <v>14.5</v>
      </c>
      <c r="AW165" s="4">
        <v>1</v>
      </c>
      <c r="AX165">
        <f>((MAX($J165,1)*MIN($AE165/300,1)))*IF(D165="Wagon",50,10)</f>
        <v>0</v>
      </c>
      <c r="AY165">
        <f>VLOOKUP($E165,Constants!$I:$K, 2, FALSE)</f>
        <v>1</v>
      </c>
      <c r="AZ165">
        <f>VLOOKUP($E165,Constants!$I:$K, 3, FALSE)*IF(AND(D165="multiple_unit",Y165&lt;110),0.75,1)</f>
        <v>2</v>
      </c>
      <c r="BA165">
        <f>INT(POWER(((Constants!$G$2+$AT165+$AU165+$AV165+$AX165)*$AW165)*$AZ165, 1.05))+$AS165</f>
        <v>128</v>
      </c>
      <c r="BB165">
        <f>INT(((Constants!$G$1+$AT165+$AU165+$AV165+$AX165)*(1/$AW165))*$AY165)+$AR165</f>
        <v>81</v>
      </c>
      <c r="BL165" t="str">
        <f>VLOOKUP(G165,Eras!$A$2:$C$10, 2, TRUE)</f>
        <v>lbr</v>
      </c>
      <c r="BM165" t="s">
        <v>371</v>
      </c>
      <c r="BN165" t="str">
        <f>CONCATENATE(BL165,"_",BM165)</f>
        <v>lbr_Freight</v>
      </c>
      <c r="BO165" t="str">
        <f t="shared" si="8"/>
        <v/>
      </c>
      <c r="BP165" t="str">
        <f t="shared" si="9"/>
        <v/>
      </c>
      <c r="BQ165" t="s">
        <v>615</v>
      </c>
      <c r="BR165" t="str">
        <f t="shared" si="10"/>
        <v/>
      </c>
      <c r="BS165" t="str">
        <f t="shared" si="11"/>
        <v>{SILVER}The Class 59 is the first US-built locomotive to operate in mainland Great Britain. It is derived from the SD40, with a British cab layout.</v>
      </c>
    </row>
    <row r="166" spans="1:71" x14ac:dyDescent="0.25">
      <c r="A166" t="s">
        <v>76</v>
      </c>
      <c r="B166" t="s">
        <v>208</v>
      </c>
      <c r="C166">
        <v>348</v>
      </c>
      <c r="D166" t="s">
        <v>304</v>
      </c>
      <c r="E166" t="s">
        <v>338</v>
      </c>
      <c r="F166" t="s">
        <v>316</v>
      </c>
      <c r="G166">
        <v>1987</v>
      </c>
      <c r="H166">
        <v>1990</v>
      </c>
      <c r="K166">
        <v>5000</v>
      </c>
      <c r="T166">
        <v>84.5</v>
      </c>
      <c r="W166">
        <v>258</v>
      </c>
      <c r="X166" s="4">
        <f>IF(AND(T166&gt;0,W166&gt;0),(W166/((T166+U166)*10)),"")</f>
        <v>0.30532544378698223</v>
      </c>
      <c r="Y166">
        <v>110</v>
      </c>
      <c r="AA166">
        <v>18.75</v>
      </c>
      <c r="AB166">
        <v>18.75</v>
      </c>
      <c r="AD166">
        <v>3.96</v>
      </c>
      <c r="AE166" s="11">
        <v>0</v>
      </c>
      <c r="AF166" t="str">
        <f>CONCATENATE(VLOOKUP(AG166, 'Voxel Sizes'!$A$2:$B$18,2,FALSE),"x",INT(AC166*15), "x", INT(AD166*15))</f>
        <v>186x0x59</v>
      </c>
      <c r="AG166">
        <f>ROUND(15*((AB166*10)/256),0)</f>
        <v>11</v>
      </c>
      <c r="AI166" t="str">
        <f>CONCATENATE(VLOOKUP(AG166,Constants!$A$2:$C$16,IF(AH166&lt;&gt;"", 3, 2), FALSE),IF(AH166&lt;&gt;"",CONCATENATE(",",VLOOKUP(AH166,$B:$AI,34,FALSE)),""))</f>
        <v>4,3,4</v>
      </c>
      <c r="AP166">
        <v>40</v>
      </c>
      <c r="AQ166" t="str">
        <f>IF(I166&lt;&gt;"",MAX(8,(I166-G166)-4),"")</f>
        <v/>
      </c>
      <c r="AT166">
        <f>MIN(Y166/150, 1)*30</f>
        <v>22</v>
      </c>
      <c r="AU166">
        <f>MIN(K166/4000, 1)*20</f>
        <v>20</v>
      </c>
      <c r="AV166">
        <f>MIN(W166/400,1)*20</f>
        <v>12.9</v>
      </c>
      <c r="AW166" s="4">
        <v>1</v>
      </c>
      <c r="AX166">
        <f>((MAX($J166,1)*MIN($AE166/300,1)))*IF(D166="Wagon",50,10)</f>
        <v>0</v>
      </c>
      <c r="AY166">
        <f>VLOOKUP($E166,Constants!$I:$K, 2, FALSE)</f>
        <v>0.85</v>
      </c>
      <c r="AZ166">
        <f>VLOOKUP($E166,Constants!$I:$K, 3, FALSE)*IF(AND(D166="multiple_unit",Y166&lt;110),0.75,1)</f>
        <v>2.2999999999999998</v>
      </c>
      <c r="BA166">
        <f>INT(POWER(((Constants!$G$2+$AT166+$AU166+$AV166+$AX166)*$AW166)*$AZ166, 1.05))+$AS166</f>
        <v>176</v>
      </c>
      <c r="BB166">
        <f>INT(((Constants!$G$1+$AT166+$AU166+$AV166+$AX166)*(1/$AW166))*$AY166)+$AR166</f>
        <v>76</v>
      </c>
      <c r="BL166" t="str">
        <f>VLOOKUP(G166,Eras!$A$2:$C$10, 2, TRUE)</f>
        <v>lbr</v>
      </c>
      <c r="BM166" t="s">
        <v>370</v>
      </c>
      <c r="BN166" t="str">
        <f>CONCATENATE(BL166,"_",BM166)</f>
        <v>lbr_Express</v>
      </c>
      <c r="BO166" t="str">
        <f t="shared" si="8"/>
        <v/>
      </c>
      <c r="BP166" t="str">
        <f t="shared" si="9"/>
        <v/>
      </c>
      <c r="BQ166" t="s">
        <v>618</v>
      </c>
      <c r="BR166" t="str">
        <f t="shared" si="10"/>
        <v/>
      </c>
      <c r="BS166" t="str">
        <f t="shared" si="11"/>
        <v>{SILVER}The Class 90 is a powerful electric locomotive. Initially used for Intercity express services, several were also used for freight.</v>
      </c>
    </row>
    <row r="167" spans="1:71" x14ac:dyDescent="0.25">
      <c r="A167" t="s">
        <v>624</v>
      </c>
      <c r="B167" t="s">
        <v>276</v>
      </c>
      <c r="C167">
        <v>350</v>
      </c>
      <c r="D167" t="s">
        <v>304</v>
      </c>
      <c r="E167" t="s">
        <v>338</v>
      </c>
      <c r="F167" t="s">
        <v>339</v>
      </c>
      <c r="G167">
        <v>1988</v>
      </c>
      <c r="H167">
        <v>1991</v>
      </c>
      <c r="K167">
        <v>6480</v>
      </c>
      <c r="T167">
        <v>81.5</v>
      </c>
      <c r="W167">
        <v>190</v>
      </c>
      <c r="X167" s="4">
        <f>IF(AND(T167&gt;0,W167&gt;0),(W167/((T167+U167)*10)),"")</f>
        <v>0.23312883435582821</v>
      </c>
      <c r="Y167">
        <v>140</v>
      </c>
      <c r="AA167">
        <v>19.399999999999999</v>
      </c>
      <c r="AB167">
        <v>19.399999999999999</v>
      </c>
      <c r="AE167" s="11">
        <v>0</v>
      </c>
      <c r="AF167" t="str">
        <f>CONCATENATE(VLOOKUP(AG167, 'Voxel Sizes'!$A$2:$B$18,2,FALSE),"x",INT(AC167*15), "x", INT(AD167*15))</f>
        <v>186x0x0</v>
      </c>
      <c r="AG167">
        <f>ROUND(15*((AB167*10)/256),0)</f>
        <v>11</v>
      </c>
      <c r="AI167" t="str">
        <f>CONCATENATE(VLOOKUP(AG167,Constants!$A$2:$C$16,IF(AH167&lt;&gt;"", 3, 2), FALSE),IF(AH167&lt;&gt;"",CONCATENATE(",",VLOOKUP(AH167,$B:$AI,34,FALSE)),""))</f>
        <v>4,3,4</v>
      </c>
      <c r="AP167">
        <v>37</v>
      </c>
      <c r="AQ167" t="str">
        <f>IF(I167&lt;&gt;"",MAX(8,(I167-G167)-4),"")</f>
        <v/>
      </c>
      <c r="AT167">
        <f>MIN(Y167/150, 1)*30</f>
        <v>28</v>
      </c>
      <c r="AU167">
        <f>MIN(K167/4000, 1)*20</f>
        <v>20</v>
      </c>
      <c r="AV167">
        <f>MIN(W167/400,1)*20</f>
        <v>9.5</v>
      </c>
      <c r="AW167" s="4">
        <v>1</v>
      </c>
      <c r="AX167">
        <f>((MAX($J167,1)*MIN($AE167/300,1)))*IF(D167="Wagon",50,10)</f>
        <v>0</v>
      </c>
      <c r="AY167">
        <f>VLOOKUP($E167,Constants!$I:$K, 2, FALSE)</f>
        <v>0.85</v>
      </c>
      <c r="AZ167">
        <f>VLOOKUP($E167,Constants!$I:$K, 3, FALSE)*IF(AND(D167="multiple_unit",Y167&lt;110),0.75,1)</f>
        <v>2.2999999999999998</v>
      </c>
      <c r="BA167">
        <f>INT(POWER(((Constants!$G$2+$AT167+$AU167+$AV167+$AX167)*$AW167)*$AZ167, 1.05))+$AS167</f>
        <v>184</v>
      </c>
      <c r="BB167">
        <f>INT(((Constants!$G$1+$AT167+$AU167+$AV167+$AX167)*(1/$AW167))*$AY167)+$AR167</f>
        <v>78</v>
      </c>
      <c r="BL167" t="str">
        <f>VLOOKUP(G167,Eras!$A$2:$C$10, 2, TRUE)</f>
        <v>lbr</v>
      </c>
      <c r="BM167" t="s">
        <v>380</v>
      </c>
      <c r="BN167" t="str">
        <f>CONCATENATE(BL167,"_",BM167)</f>
        <v>lbr_Express (Electric)</v>
      </c>
      <c r="BO167" t="str">
        <f t="shared" si="8"/>
        <v/>
      </c>
      <c r="BP167" t="str">
        <f t="shared" si="9"/>
        <v/>
      </c>
      <c r="BQ167" t="s">
        <v>623</v>
      </c>
      <c r="BR167" t="str">
        <f t="shared" si="10"/>
        <v/>
      </c>
      <c r="BS167" t="str">
        <f t="shared" si="11"/>
        <v>{SILVER}The Class 91 is a high speed electric locomotive, designed for Intercity 225 services.</v>
      </c>
    </row>
    <row r="168" spans="1:71" x14ac:dyDescent="0.25">
      <c r="A168" t="s">
        <v>625</v>
      </c>
      <c r="B168" t="s">
        <v>627</v>
      </c>
      <c r="C168">
        <v>352</v>
      </c>
      <c r="D168" t="s">
        <v>304</v>
      </c>
      <c r="E168" t="s">
        <v>338</v>
      </c>
      <c r="F168" t="s">
        <v>339</v>
      </c>
      <c r="G168">
        <v>1988</v>
      </c>
      <c r="H168">
        <v>1991</v>
      </c>
      <c r="K168">
        <v>100</v>
      </c>
      <c r="T168">
        <v>40</v>
      </c>
      <c r="W168">
        <v>5</v>
      </c>
      <c r="X168" s="4">
        <f>IF(AND(T168&gt;0,W168&gt;0),(W168/((T168+U168)*10)),"")</f>
        <v>1.2500000000000001E-2</v>
      </c>
      <c r="Y168">
        <v>140</v>
      </c>
      <c r="AA168">
        <v>19.399999999999999</v>
      </c>
      <c r="AB168">
        <v>19.399999999999999</v>
      </c>
      <c r="AE168" s="11">
        <v>0</v>
      </c>
      <c r="AF168" t="str">
        <f>CONCATENATE(VLOOKUP(AG168, 'Voxel Sizes'!$A$2:$B$18,2,FALSE),"x",INT(AC168*15), "x", INT(AD168*15))</f>
        <v>186x0x0</v>
      </c>
      <c r="AG168">
        <f>ROUND(15*((AB168*10)/256),0)</f>
        <v>11</v>
      </c>
      <c r="AI168" t="str">
        <f>CONCATENATE(VLOOKUP(AG168,Constants!$A$2:$C$16,IF(AH168&lt;&gt;"", 3, 2), FALSE),IF(AH168&lt;&gt;"",CONCATENATE(",",VLOOKUP(AH168,$B:$AI,34,FALSE)),""))</f>
        <v>4,3,4</v>
      </c>
      <c r="AP168">
        <v>37</v>
      </c>
      <c r="AQ168" t="str">
        <f>IF(I168&lt;&gt;"",MAX(8,(I168-G168)-4),"")</f>
        <v/>
      </c>
      <c r="AR168">
        <v>-35</v>
      </c>
      <c r="AS168">
        <v>-60</v>
      </c>
      <c r="AT168">
        <f>MIN(Y168/150, 1)*30</f>
        <v>28</v>
      </c>
      <c r="AU168">
        <f>MIN(K168/4000, 1)*20</f>
        <v>0.5</v>
      </c>
      <c r="AV168">
        <f>MIN(W168/400,1)*20</f>
        <v>0.25</v>
      </c>
      <c r="AW168" s="4">
        <v>1</v>
      </c>
      <c r="AX168">
        <f>((MAX($J168,1)*MIN($AE168/300,1)))*IF(D168="Wagon",50,10)</f>
        <v>0</v>
      </c>
      <c r="AY168">
        <f>VLOOKUP($E168,Constants!$I:$K, 2, FALSE)</f>
        <v>0.85</v>
      </c>
      <c r="AZ168">
        <f>VLOOKUP($E168,Constants!$I:$K, 3, FALSE)*IF(AND(D168="multiple_unit",Y168&lt;110),0.75,1)</f>
        <v>2.2999999999999998</v>
      </c>
      <c r="BA168">
        <f>INT(POWER(((Constants!$G$2+$AT168+$AU168+$AV168+$AX168)*$AW168)*$AZ168, 1.05))+$AS168</f>
        <v>36</v>
      </c>
      <c r="BB168">
        <f>INT(((Constants!$G$1+$AT168+$AU168+$AV168+$AX168)*(1/$AW168))*$AY168)+$AR168</f>
        <v>19</v>
      </c>
      <c r="BC168">
        <v>1</v>
      </c>
      <c r="BE168">
        <v>1</v>
      </c>
      <c r="BL168" t="str">
        <f>VLOOKUP(G168,Eras!$A$2:$C$10, 2, TRUE)</f>
        <v>lbr</v>
      </c>
      <c r="BM168" t="s">
        <v>380</v>
      </c>
      <c r="BN168" t="str">
        <f>CONCATENATE(BL168,"_",BM168)</f>
        <v>lbr_Express (Electric)</v>
      </c>
      <c r="BO168" t="str">
        <f t="shared" si="8"/>
        <v/>
      </c>
      <c r="BP168" t="str">
        <f t="shared" si="9"/>
        <v/>
      </c>
      <c r="BQ168" t="s">
        <v>626</v>
      </c>
      <c r="BR168" t="str">
        <f t="shared" si="10"/>
        <v/>
      </c>
      <c r="BS168" t="str">
        <f t="shared" si="11"/>
        <v>{SILVER}This driving van trailer can be used with other electric locomotives, either as a leading or trailing vehicle. It is recommended for use with the Class 91.</v>
      </c>
    </row>
    <row r="169" spans="1:71" x14ac:dyDescent="0.25">
      <c r="A169" t="s">
        <v>667</v>
      </c>
      <c r="B169" t="s">
        <v>631</v>
      </c>
      <c r="C169">
        <v>354</v>
      </c>
      <c r="D169" t="s">
        <v>304</v>
      </c>
      <c r="E169" t="s">
        <v>314</v>
      </c>
      <c r="F169" t="s">
        <v>316</v>
      </c>
      <c r="G169">
        <v>1989</v>
      </c>
      <c r="K169">
        <v>3100</v>
      </c>
      <c r="T169">
        <v>129</v>
      </c>
      <c r="W169">
        <v>474</v>
      </c>
      <c r="X169" s="4">
        <f>IF(AND(T169&gt;0,W169&gt;0),(W169/((T169+U169)*10)),"")</f>
        <v>0.36744186046511629</v>
      </c>
      <c r="Y169">
        <v>60</v>
      </c>
      <c r="AA169">
        <v>21.34</v>
      </c>
      <c r="AB169">
        <v>21.34</v>
      </c>
      <c r="AC169">
        <v>2.64</v>
      </c>
      <c r="AD169">
        <v>3.95</v>
      </c>
      <c r="AE169" s="11">
        <v>0</v>
      </c>
      <c r="AF169" t="str">
        <f>CONCATENATE(VLOOKUP(AG169, 'Voxel Sizes'!$A$2:$B$18,2,FALSE),"x",INT(AC169*15), "x", INT(AD169*15))</f>
        <v>214x39x59</v>
      </c>
      <c r="AG169">
        <f>ROUND(15*((AB169*10)/256),0)</f>
        <v>13</v>
      </c>
      <c r="AI169" t="str">
        <f>CONCATENATE(VLOOKUP(AG169,Constants!$A$2:$C$16,IF(AH169&lt;&gt;"", 3, 2), FALSE),IF(AH169&lt;&gt;"",CONCATENATE(",",VLOOKUP(AH169,$B:$AI,34,FALSE)),""))</f>
        <v>4,5,4</v>
      </c>
      <c r="AP169">
        <v>40</v>
      </c>
      <c r="AQ169" t="str">
        <f>IF(I169&lt;&gt;"",MAX(8,(I169-G169)-4),"")</f>
        <v/>
      </c>
      <c r="AT169">
        <f>MIN(Y169/150, 1)*30</f>
        <v>12</v>
      </c>
      <c r="AU169">
        <f>MIN(K169/4000, 1)*20</f>
        <v>15.5</v>
      </c>
      <c r="AV169">
        <f>MIN(W169/400,1)*20</f>
        <v>20</v>
      </c>
      <c r="AW169" s="4">
        <v>1</v>
      </c>
      <c r="AX169">
        <f>((MAX($J169,1)*MIN($AE169/300,1)))*IF(D169="Wagon",50,10)</f>
        <v>0</v>
      </c>
      <c r="AY169">
        <f>VLOOKUP($E169,Constants!$I:$K, 2, FALSE)</f>
        <v>1</v>
      </c>
      <c r="AZ169">
        <f>VLOOKUP($E169,Constants!$I:$K, 3, FALSE)*IF(AND(D169="multiple_unit",Y169&lt;110),0.75,1)</f>
        <v>2</v>
      </c>
      <c r="BA169">
        <f>INT(POWER(((Constants!$G$2+$AT169+$AU169+$AV169+$AX169)*$AW169)*$AZ169, 1.05))+$AS169</f>
        <v>132</v>
      </c>
      <c r="BB169">
        <f>INT(((Constants!$G$1+$AT169+$AU169+$AV169+$AX169)*(1/$AW169))*$AY169)+$AR169</f>
        <v>82</v>
      </c>
      <c r="BL169" t="str">
        <f>VLOOKUP(G169,Eras!$A$2:$C$10, 2, TRUE)</f>
        <v>lbr</v>
      </c>
      <c r="BM169" t="s">
        <v>371</v>
      </c>
      <c r="BN169" t="str">
        <f>CONCATENATE(BL169,"_",BM169)</f>
        <v>lbr_Freight</v>
      </c>
      <c r="BO169" t="str">
        <f t="shared" si="8"/>
        <v/>
      </c>
      <c r="BP169" t="str">
        <f t="shared" si="9"/>
        <v/>
      </c>
      <c r="BQ169" t="s">
        <v>668</v>
      </c>
      <c r="BR169" t="str">
        <f t="shared" si="10"/>
        <v/>
      </c>
      <c r="BS169" t="str">
        <f t="shared" si="11"/>
        <v>{SILVER}The Brush Class 60 is a Type 5 diesel, designed for high power and tractive effort to haul heavy freight trains.</v>
      </c>
    </row>
    <row r="170" spans="1:71" x14ac:dyDescent="0.25">
      <c r="A170" t="s">
        <v>652</v>
      </c>
      <c r="B170" t="s">
        <v>209</v>
      </c>
      <c r="C170">
        <v>356</v>
      </c>
      <c r="D170" t="s">
        <v>304</v>
      </c>
      <c r="E170" t="s">
        <v>607</v>
      </c>
      <c r="F170" t="s">
        <v>606</v>
      </c>
      <c r="G170">
        <v>1993</v>
      </c>
      <c r="H170">
        <v>1996</v>
      </c>
      <c r="K170">
        <v>6760</v>
      </c>
      <c r="L170" s="9">
        <v>5360</v>
      </c>
      <c r="T170">
        <v>126</v>
      </c>
      <c r="W170">
        <v>360</v>
      </c>
      <c r="X170" s="4">
        <f>IF(AND(T170&gt;0,W170&gt;0),(W170/((T170+U170)*10)),"")</f>
        <v>0.2857142857142857</v>
      </c>
      <c r="Y170">
        <v>87</v>
      </c>
      <c r="AA170">
        <v>21.36</v>
      </c>
      <c r="AB170">
        <v>21.36</v>
      </c>
      <c r="AE170" s="11">
        <v>0</v>
      </c>
      <c r="AF170" t="str">
        <f>CONCATENATE(VLOOKUP(AG170, 'Voxel Sizes'!$A$2:$B$18,2,FALSE),"x",INT(AC170*15), "x", INT(AD170*15))</f>
        <v>214x0x0</v>
      </c>
      <c r="AG170">
        <f>ROUND(15*((AB170*10)/256),0)</f>
        <v>13</v>
      </c>
      <c r="AI170" t="str">
        <f>CONCATENATE(VLOOKUP(AG170,Constants!$A$2:$C$16,IF(AH170&lt;&gt;"", 3, 2), FALSE),IF(AH170&lt;&gt;"",CONCATENATE(",",VLOOKUP(AH170,$B:$AI,34,FALSE)),""))</f>
        <v>4,5,4</v>
      </c>
      <c r="AL170" t="s">
        <v>209</v>
      </c>
      <c r="AP170">
        <v>34</v>
      </c>
      <c r="AQ170" t="str">
        <f>IF(I170&lt;&gt;"",MAX(8,(I170-G170)-4),"")</f>
        <v/>
      </c>
      <c r="AT170">
        <f>MIN(Y170/150, 1)*30</f>
        <v>17.399999999999999</v>
      </c>
      <c r="AU170">
        <f>MIN(K170/4000, 1)*20</f>
        <v>20</v>
      </c>
      <c r="AV170">
        <f>MIN(W170/400,1)*20</f>
        <v>18</v>
      </c>
      <c r="AW170" s="4">
        <v>1</v>
      </c>
      <c r="AX170">
        <f>((MAX($J170,1)*MIN($AE170/300,1)))*IF(D170="Wagon",50,10)</f>
        <v>0</v>
      </c>
      <c r="AY170">
        <f>VLOOKUP($E170,Constants!$I:$K, 2, FALSE)</f>
        <v>0.85</v>
      </c>
      <c r="AZ170">
        <f>VLOOKUP($E170,Constants!$I:$K, 3, FALSE)*IF(AND(D170="multiple_unit",Y170&lt;110),0.75,1)</f>
        <v>2.4</v>
      </c>
      <c r="BA170">
        <f>INT(POWER(((Constants!$G$2+$AT170+$AU170+$AV170+$AX170)*$AW170)*$AZ170, 1.05))+$AS170</f>
        <v>185</v>
      </c>
      <c r="BB170">
        <f>INT(((Constants!$G$1+$AT170+$AU170+$AV170+$AX170)*(1/$AW170))*$AY170)+$AR170</f>
        <v>76</v>
      </c>
      <c r="BL170" t="str">
        <f>VLOOKUP(G170,Eras!$A$2:$C$10, 2, TRUE)</f>
        <v>lbr</v>
      </c>
      <c r="BM170" t="s">
        <v>371</v>
      </c>
      <c r="BN170" t="str">
        <f>CONCATENATE(BL170,"_",BM170)</f>
        <v>lbr_Freight</v>
      </c>
      <c r="BO170" t="str">
        <f t="shared" si="8"/>
        <v/>
      </c>
      <c r="BP170" t="str">
        <f t="shared" si="9"/>
        <v/>
      </c>
      <c r="BQ170" t="s">
        <v>636</v>
      </c>
      <c r="BR170" t="str">
        <f t="shared" si="10"/>
        <v/>
      </c>
      <c r="BS170" t="str">
        <f t="shared" si="11"/>
        <v>{SILVER}The Class 92 was designed to operate services through the Channel Tunnel. It can run on both the Southern Region third rail system and overhead wires.</v>
      </c>
    </row>
    <row r="171" spans="1:71" x14ac:dyDescent="0.25">
      <c r="A171" t="s">
        <v>56</v>
      </c>
      <c r="B171" t="s">
        <v>210</v>
      </c>
      <c r="C171">
        <v>358</v>
      </c>
      <c r="D171" t="s">
        <v>304</v>
      </c>
      <c r="E171" t="s">
        <v>314</v>
      </c>
      <c r="F171" t="s">
        <v>316</v>
      </c>
      <c r="G171">
        <v>1998</v>
      </c>
      <c r="H171">
        <v>2015</v>
      </c>
      <c r="K171">
        <v>3300</v>
      </c>
      <c r="T171">
        <v>129.6</v>
      </c>
      <c r="W171">
        <v>260</v>
      </c>
      <c r="X171" s="4">
        <f>IF(AND(T171&gt;0,W171&gt;0),(W171/((T171+U171)*10)),"")</f>
        <v>0.20061728395061729</v>
      </c>
      <c r="Y171">
        <v>75</v>
      </c>
      <c r="AA171">
        <v>21.4</v>
      </c>
      <c r="AB171">
        <v>21.4</v>
      </c>
      <c r="AD171">
        <v>3.9</v>
      </c>
      <c r="AE171" s="11">
        <v>0</v>
      </c>
      <c r="AF171" t="str">
        <f>CONCATENATE(VLOOKUP(AG171, 'Voxel Sizes'!$A$2:$B$18,2,FALSE),"x",INT(AC171*15), "x", INT(AD171*15))</f>
        <v>214x0x58</v>
      </c>
      <c r="AG171">
        <f>ROUND(15*((AB171*10)/256),0)</f>
        <v>13</v>
      </c>
      <c r="AI171" t="str">
        <f>CONCATENATE(VLOOKUP(AG171,Constants!$A$2:$C$16,IF(AH171&lt;&gt;"", 3, 2), FALSE),IF(AH171&lt;&gt;"",CONCATENATE(",",VLOOKUP(AH171,$B:$AI,34,FALSE)),""))</f>
        <v>4,5,4</v>
      </c>
      <c r="AP171">
        <v>40</v>
      </c>
      <c r="AQ171" t="str">
        <f>IF(I171&lt;&gt;"",MAX(8,(I171-G171)-4),"")</f>
        <v/>
      </c>
      <c r="AT171">
        <f>MIN(Y171/150, 1)*30</f>
        <v>15</v>
      </c>
      <c r="AU171">
        <f>MIN(K171/4000, 1)*20</f>
        <v>16.5</v>
      </c>
      <c r="AV171">
        <f>MIN(W171/400,1)*20</f>
        <v>13</v>
      </c>
      <c r="AW171" s="4">
        <v>1</v>
      </c>
      <c r="AX171">
        <f>((MAX($J171,1)*MIN($AE171/300,1)))*IF(D171="Wagon",50,10)</f>
        <v>0</v>
      </c>
      <c r="AY171">
        <f>VLOOKUP($E171,Constants!$I:$K, 2, FALSE)</f>
        <v>1</v>
      </c>
      <c r="AZ171">
        <f>VLOOKUP($E171,Constants!$I:$K, 3, FALSE)*IF(AND(D171="multiple_unit",Y171&lt;110),0.75,1)</f>
        <v>2</v>
      </c>
      <c r="BA171">
        <f>INT(POWER(((Constants!$G$2+$AT171+$AU171+$AV171+$AX171)*$AW171)*$AZ171, 1.05))+$AS171</f>
        <v>124</v>
      </c>
      <c r="BB171">
        <f>INT(((Constants!$G$1+$AT171+$AU171+$AV171+$AX171)*(1/$AW171))*$AY171)+$AR171</f>
        <v>79</v>
      </c>
      <c r="BL171" t="str">
        <f>VLOOKUP(G171,Eras!$A$2:$C$10, 2, TRUE)</f>
        <v>prv</v>
      </c>
      <c r="BM171" t="s">
        <v>371</v>
      </c>
      <c r="BN171" t="str">
        <f>CONCATENATE(BL171,"_",BM171)</f>
        <v>prv_Freight</v>
      </c>
      <c r="BO171" t="str">
        <f t="shared" si="8"/>
        <v/>
      </c>
      <c r="BP171" t="str">
        <f t="shared" si="9"/>
        <v/>
      </c>
      <c r="BQ171" t="s">
        <v>616</v>
      </c>
      <c r="BR171" t="str">
        <f t="shared" si="10"/>
        <v/>
      </c>
      <c r="BS171" t="str">
        <f t="shared" si="11"/>
        <v>{SILVER}After the successful introduction of the Class 59, EWS approached GM's Electro-Motive diesel with a huge order of 250 locomotives which would become Class 66.</v>
      </c>
    </row>
    <row r="172" spans="1:71" x14ac:dyDescent="0.25">
      <c r="A172" t="s">
        <v>149</v>
      </c>
      <c r="B172" t="s">
        <v>275</v>
      </c>
      <c r="C172">
        <v>360</v>
      </c>
      <c r="D172" t="s">
        <v>304</v>
      </c>
      <c r="E172" t="s">
        <v>314</v>
      </c>
      <c r="F172" t="s">
        <v>316</v>
      </c>
      <c r="G172">
        <v>1998</v>
      </c>
      <c r="H172">
        <v>2004</v>
      </c>
      <c r="K172">
        <v>3000</v>
      </c>
      <c r="T172">
        <v>120.6</v>
      </c>
      <c r="W172">
        <v>250</v>
      </c>
      <c r="X172" s="4">
        <f>IF(AND(T172&gt;0,W172&gt;0),(W172/((T172+U172)*10)),"")</f>
        <v>0.20729684908789386</v>
      </c>
      <c r="Y172">
        <v>95</v>
      </c>
      <c r="AA172">
        <v>19.38</v>
      </c>
      <c r="AB172">
        <v>19.38</v>
      </c>
      <c r="AD172">
        <v>3.9</v>
      </c>
      <c r="AE172" s="11">
        <v>0</v>
      </c>
      <c r="AF172" t="str">
        <f>CONCATENATE(VLOOKUP(AG172, 'Voxel Sizes'!$A$2:$B$18,2,FALSE),"x",INT(AC172*15), "x", INT(AD172*15))</f>
        <v>186x0x58</v>
      </c>
      <c r="AG172">
        <f>ROUND(15*((AB172*10)/256),0)</f>
        <v>11</v>
      </c>
      <c r="AI172" t="str">
        <f>CONCATENATE(VLOOKUP(AG172,Constants!$A$2:$C$16,IF(AH172&lt;&gt;"", 3, 2), FALSE),IF(AH172&lt;&gt;"",CONCATENATE(",",VLOOKUP(AH172,$B:$AI,34,FALSE)),""))</f>
        <v>4,3,4</v>
      </c>
      <c r="AP172">
        <v>40</v>
      </c>
      <c r="AQ172" t="str">
        <f>IF(I172&lt;&gt;"",MAX(8,(I172-G172)-4),"")</f>
        <v/>
      </c>
      <c r="AT172">
        <f>MIN(Y172/150, 1)*30</f>
        <v>19</v>
      </c>
      <c r="AU172">
        <f>MIN(K172/4000, 1)*20</f>
        <v>15</v>
      </c>
      <c r="AV172">
        <f>MIN(W172/400,1)*20</f>
        <v>12.5</v>
      </c>
      <c r="AW172" s="4">
        <v>1</v>
      </c>
      <c r="AX172">
        <f>((MAX($J172,1)*MIN($AE172/300,1)))*IF(D172="Wagon",50,10)</f>
        <v>0</v>
      </c>
      <c r="AY172">
        <f>VLOOKUP($E172,Constants!$I:$K, 2, FALSE)</f>
        <v>1</v>
      </c>
      <c r="AZ172">
        <f>VLOOKUP($E172,Constants!$I:$K, 3, FALSE)*IF(AND(D172="multiple_unit",Y172&lt;110),0.75,1)</f>
        <v>2</v>
      </c>
      <c r="BA172">
        <f>INT(POWER(((Constants!$G$2+$AT172+$AU172+$AV172+$AX172)*$AW172)*$AZ172, 1.05))+$AS172</f>
        <v>129</v>
      </c>
      <c r="BB172">
        <f>INT(((Constants!$G$1+$AT172+$AU172+$AV172+$AX172)*(1/$AW172))*$AY172)+$AR172</f>
        <v>81</v>
      </c>
      <c r="BL172" t="str">
        <f>VLOOKUP(G172,Eras!$A$2:$C$10, 2, TRUE)</f>
        <v>prv</v>
      </c>
      <c r="BM172" t="s">
        <v>371</v>
      </c>
      <c r="BN172" t="str">
        <f>CONCATENATE(BL172,"_",BM172)</f>
        <v>prv_Freight</v>
      </c>
      <c r="BO172" t="str">
        <f t="shared" si="8"/>
        <v/>
      </c>
      <c r="BP172" t="str">
        <f t="shared" si="9"/>
        <v/>
      </c>
      <c r="BQ172" t="s">
        <v>617</v>
      </c>
      <c r="BR172" t="str">
        <f t="shared" si="10"/>
        <v/>
      </c>
      <c r="BS172" t="str">
        <f t="shared" si="11"/>
        <v>{SILVER}The Class 57 is a re-engineered locomotive using Class 47 bodyshells and parts, giving rise to its "Bodysnatcher" nickname.</v>
      </c>
    </row>
    <row r="173" spans="1:71" x14ac:dyDescent="0.25">
      <c r="A173" t="s">
        <v>651</v>
      </c>
      <c r="B173" t="s">
        <v>635</v>
      </c>
      <c r="C173">
        <v>362</v>
      </c>
      <c r="D173" t="s">
        <v>304</v>
      </c>
      <c r="E173" t="s">
        <v>314</v>
      </c>
      <c r="F173" t="s">
        <v>316</v>
      </c>
      <c r="G173">
        <v>1999</v>
      </c>
      <c r="H173">
        <v>2000</v>
      </c>
      <c r="K173">
        <v>3200</v>
      </c>
      <c r="T173">
        <v>88</v>
      </c>
      <c r="W173">
        <v>144</v>
      </c>
      <c r="X173" s="4">
        <f>IF(AND(T173&gt;0,W173&gt;0),(W173/((T173+U173)*10)),"")</f>
        <v>0.16363636363636364</v>
      </c>
      <c r="Y173">
        <v>125</v>
      </c>
      <c r="AA173">
        <v>19.71</v>
      </c>
      <c r="AB173">
        <v>19.71</v>
      </c>
      <c r="AD173">
        <v>3.93</v>
      </c>
      <c r="AE173" s="11">
        <v>0</v>
      </c>
      <c r="AF173" t="str">
        <f>CONCATENATE(VLOOKUP(AG173, 'Voxel Sizes'!$A$2:$B$18,2,FALSE),"x",INT(AC173*15), "x", INT(AD173*15))</f>
        <v>198x0x58</v>
      </c>
      <c r="AG173">
        <f>ROUND(15*((AB173*10)/256),0)</f>
        <v>12</v>
      </c>
      <c r="AI173" t="str">
        <f>CONCATENATE(VLOOKUP(AG173,Constants!$A$2:$C$16,IF(AH173&lt;&gt;"", 3, 2), FALSE),IF(AH173&lt;&gt;"",CONCATENATE(",",VLOOKUP(AH173,$B:$AI,34,FALSE)),""))</f>
        <v>4,4,4</v>
      </c>
      <c r="AP173">
        <v>40</v>
      </c>
      <c r="AQ173" t="str">
        <f>IF(I173&lt;&gt;"",MAX(8,(I173-G173)-4),"")</f>
        <v/>
      </c>
      <c r="AT173">
        <f>MIN(Y173/150, 1)*30</f>
        <v>25</v>
      </c>
      <c r="AU173">
        <f>MIN(K173/4000, 1)*20</f>
        <v>16</v>
      </c>
      <c r="AV173">
        <f>MIN(W173/400,1)*20</f>
        <v>7.1999999999999993</v>
      </c>
      <c r="AW173" s="4">
        <v>1</v>
      </c>
      <c r="AX173">
        <f>((MAX($J173,1)*MIN($AE173/300,1)))*IF(D173="Wagon",50,10)</f>
        <v>0</v>
      </c>
      <c r="AY173">
        <f>VLOOKUP($E173,Constants!$I:$K, 2, FALSE)</f>
        <v>1</v>
      </c>
      <c r="AZ173">
        <f>VLOOKUP($E173,Constants!$I:$K, 3, FALSE)*IF(AND(D173="multiple_unit",Y173&lt;110),0.75,1)</f>
        <v>2</v>
      </c>
      <c r="BA173">
        <f>INT(POWER(((Constants!$G$2+$AT173+$AU173+$AV173+$AX173)*$AW173)*$AZ173, 1.05))+$AS173</f>
        <v>134</v>
      </c>
      <c r="BB173">
        <f>INT(((Constants!$G$1+$AT173+$AU173+$AV173+$AX173)*(1/$AW173))*$AY173)+$AR173</f>
        <v>83</v>
      </c>
      <c r="BL173" t="str">
        <f>VLOOKUP(G173,Eras!$A$2:$C$10, 2, TRUE)</f>
        <v>prv</v>
      </c>
      <c r="BM173" t="s">
        <v>371</v>
      </c>
      <c r="BN173" t="str">
        <f>CONCATENATE(BL173,"_",BM173)</f>
        <v>prv_Freight</v>
      </c>
      <c r="BO173" t="str">
        <f t="shared" si="8"/>
        <v/>
      </c>
      <c r="BP173" t="str">
        <f t="shared" si="9"/>
        <v/>
      </c>
      <c r="BQ173" t="s">
        <v>634</v>
      </c>
      <c r="BR173" t="str">
        <f t="shared" si="10"/>
        <v/>
      </c>
      <c r="BS173" t="str">
        <f t="shared" si="11"/>
        <v>{SILVER}The Class 67 is a high speed freight locomotive designed for mail service. It uses EMD engines, generators and traction motors.</v>
      </c>
    </row>
    <row r="174" spans="1:71" x14ac:dyDescent="0.25">
      <c r="A174" t="s">
        <v>61</v>
      </c>
      <c r="B174" t="s">
        <v>211</v>
      </c>
      <c r="C174">
        <v>364</v>
      </c>
      <c r="D174" t="s">
        <v>304</v>
      </c>
      <c r="E174" t="s">
        <v>314</v>
      </c>
      <c r="F174" t="s">
        <v>316</v>
      </c>
      <c r="G174">
        <v>2008</v>
      </c>
      <c r="H174">
        <v>2017</v>
      </c>
      <c r="K174">
        <v>3690</v>
      </c>
      <c r="T174">
        <v>129</v>
      </c>
      <c r="W174">
        <v>330</v>
      </c>
      <c r="X174" s="4">
        <f>IF(AND(T174&gt;0,W174&gt;0),(W174/((T174+U174)*10)),"")</f>
        <v>0.2558139534883721</v>
      </c>
      <c r="Y174">
        <v>75</v>
      </c>
      <c r="AA174">
        <v>21.27</v>
      </c>
      <c r="AB174">
        <v>21.27</v>
      </c>
      <c r="AD174">
        <v>3.91</v>
      </c>
      <c r="AE174" s="11">
        <v>0</v>
      </c>
      <c r="AF174" t="str">
        <f>CONCATENATE(VLOOKUP(AG174, 'Voxel Sizes'!$A$2:$B$18,2,FALSE),"x",INT(AC174*15), "x", INT(AD174*15))</f>
        <v>198x0x58</v>
      </c>
      <c r="AG174">
        <f>ROUND(15*((AB174*10)/256),0)</f>
        <v>12</v>
      </c>
      <c r="AI174" t="str">
        <f>CONCATENATE(VLOOKUP(AG174,Constants!$A$2:$C$16,IF(AH174&lt;&gt;"", 3, 2), FALSE),IF(AH174&lt;&gt;"",CONCATENATE(",",VLOOKUP(AH174,$B:$AI,34,FALSE)),""))</f>
        <v>4,4,4</v>
      </c>
      <c r="AP174">
        <v>40</v>
      </c>
      <c r="AQ174" t="str">
        <f>IF(I174&lt;&gt;"",MAX(8,(I174-G174)-4),"")</f>
        <v/>
      </c>
      <c r="AT174">
        <f>MIN(Y174/150, 1)*30</f>
        <v>15</v>
      </c>
      <c r="AU174">
        <f>MIN(K174/4000, 1)*20</f>
        <v>18.45</v>
      </c>
      <c r="AV174">
        <f>MIN(W174/400,1)*20</f>
        <v>16.5</v>
      </c>
      <c r="AW174" s="4">
        <v>1</v>
      </c>
      <c r="AX174">
        <f>((MAX($J174,1)*MIN($AE174/300,1)))*IF(D174="Wagon",50,10)</f>
        <v>0</v>
      </c>
      <c r="AY174">
        <f>VLOOKUP($E174,Constants!$I:$K, 2, FALSE)</f>
        <v>1</v>
      </c>
      <c r="AZ174">
        <f>VLOOKUP($E174,Constants!$I:$K, 3, FALSE)*IF(AND(D174="multiple_unit",Y174&lt;110),0.75,1)</f>
        <v>2</v>
      </c>
      <c r="BA174">
        <f>INT(POWER(((Constants!$G$2+$AT174+$AU174+$AV174+$AX174)*$AW174)*$AZ174, 1.05))+$AS174</f>
        <v>139</v>
      </c>
      <c r="BB174">
        <f>INT(((Constants!$G$1+$AT174+$AU174+$AV174+$AX174)*(1/$AW174))*$AY174)+$AR174</f>
        <v>84</v>
      </c>
      <c r="BL174" t="str">
        <f>VLOOKUP(G174,Eras!$A$2:$C$10, 2, TRUE)</f>
        <v>mod</v>
      </c>
      <c r="BM174" t="s">
        <v>371</v>
      </c>
      <c r="BN174" t="str">
        <f>CONCATENATE(BL174,"_",BM174)</f>
        <v>mod_Freight</v>
      </c>
      <c r="BO174" t="str">
        <f t="shared" si="8"/>
        <v/>
      </c>
      <c r="BP174" t="str">
        <f t="shared" si="9"/>
        <v/>
      </c>
      <c r="BQ174" t="s">
        <v>648</v>
      </c>
      <c r="BR174" t="str">
        <f t="shared" si="10"/>
        <v/>
      </c>
      <c r="BS174" t="str">
        <f t="shared" si="11"/>
        <v>{SILVER}The General Electric Class 70 is designed with crash safety in mind, hence the bonnet-like structure at each end.</v>
      </c>
    </row>
    <row r="175" spans="1:71" x14ac:dyDescent="0.25">
      <c r="A175" t="s">
        <v>650</v>
      </c>
      <c r="B175" t="s">
        <v>649</v>
      </c>
      <c r="C175">
        <v>366</v>
      </c>
      <c r="D175" t="s">
        <v>304</v>
      </c>
      <c r="E175" t="s">
        <v>314</v>
      </c>
      <c r="F175" t="s">
        <v>316</v>
      </c>
      <c r="G175">
        <v>2013</v>
      </c>
      <c r="H175">
        <v>2016</v>
      </c>
      <c r="K175">
        <v>3800</v>
      </c>
      <c r="T175">
        <v>85</v>
      </c>
      <c r="W175">
        <v>317</v>
      </c>
      <c r="X175" s="4">
        <f>IF(AND(T175&gt;0,W175&gt;0),(W175/((T175+U175)*10)),"")</f>
        <v>0.37294117647058822</v>
      </c>
      <c r="Y175">
        <v>100</v>
      </c>
      <c r="AA175">
        <v>20.5</v>
      </c>
      <c r="AB175">
        <v>20.5</v>
      </c>
      <c r="AE175" s="11">
        <v>0</v>
      </c>
      <c r="AF175" t="str">
        <f>CONCATENATE(VLOOKUP(AG175, 'Voxel Sizes'!$A$2:$B$18,2,FALSE),"x",INT(AC175*15), "x", INT(AD175*15))</f>
        <v>198x0x0</v>
      </c>
      <c r="AG175">
        <f>ROUND(15*((AB175*10)/256),0)</f>
        <v>12</v>
      </c>
      <c r="AI175" t="str">
        <f>CONCATENATE(VLOOKUP(AG175,Constants!$A$2:$C$16,IF(AH175&lt;&gt;"", 3, 2), FALSE),IF(AH175&lt;&gt;"",CONCATENATE(",",VLOOKUP(AH175,$B:$AI,34,FALSE)),""))</f>
        <v>4,4,4</v>
      </c>
      <c r="AP175">
        <v>40</v>
      </c>
      <c r="AQ175" t="str">
        <f>IF(I175&lt;&gt;"",MAX(8,(I175-G175)-4),"")</f>
        <v/>
      </c>
      <c r="AT175">
        <f>MIN(Y175/150, 1)*30</f>
        <v>20</v>
      </c>
      <c r="AU175">
        <f>MIN(K175/4000, 1)*20</f>
        <v>19</v>
      </c>
      <c r="AV175">
        <f>MIN(W175/400,1)*20</f>
        <v>15.85</v>
      </c>
      <c r="AW175" s="4">
        <v>1</v>
      </c>
      <c r="AX175">
        <f>((MAX($J175,1)*MIN($AE175/300,1)))*IF(D175="Wagon",50,10)</f>
        <v>0</v>
      </c>
      <c r="AY175">
        <f>VLOOKUP($E175,Constants!$I:$K, 2, FALSE)</f>
        <v>1</v>
      </c>
      <c r="AZ175">
        <f>VLOOKUP($E175,Constants!$I:$K, 3, FALSE)*IF(AND(D175="multiple_unit",Y175&lt;110),0.75,1)</f>
        <v>2</v>
      </c>
      <c r="BA175">
        <f>INT(POWER(((Constants!$G$2+$AT175+$AU175+$AV175+$AX175)*$AW175)*$AZ175, 1.05))+$AS175</f>
        <v>152</v>
      </c>
      <c r="BB175">
        <f>INT(((Constants!$G$1+$AT175+$AU175+$AV175+$AX175)*(1/$AW175))*$AY175)+$AR175</f>
        <v>89</v>
      </c>
      <c r="BL175" t="str">
        <f>VLOOKUP(G175,Eras!$A$2:$C$10, 2, TRUE)</f>
        <v>mod</v>
      </c>
      <c r="BM175" t="s">
        <v>369</v>
      </c>
      <c r="BN175" t="str">
        <f>CONCATENATE(BL175,"_",BM175)</f>
        <v>mod_Mixed Traffic</v>
      </c>
      <c r="BO175" t="str">
        <f t="shared" si="8"/>
        <v/>
      </c>
      <c r="BP175" t="str">
        <f t="shared" si="9"/>
        <v/>
      </c>
      <c r="BQ175" t="s">
        <v>653</v>
      </c>
      <c r="BR175" t="str">
        <f t="shared" si="10"/>
        <v/>
      </c>
      <c r="BS175" t="str">
        <f t="shared" si="11"/>
        <v>{SILVER}The Class 68 is a modern mixed traffic disel locomotive with a powerful 16-cylinder Caterpillar engine.</v>
      </c>
    </row>
    <row r="176" spans="1:71" x14ac:dyDescent="0.25">
      <c r="A176" t="s">
        <v>65</v>
      </c>
      <c r="B176" t="s">
        <v>212</v>
      </c>
      <c r="C176">
        <v>368</v>
      </c>
      <c r="D176" t="s">
        <v>169</v>
      </c>
      <c r="E176" t="s">
        <v>596</v>
      </c>
      <c r="F176" t="s">
        <v>316</v>
      </c>
      <c r="G176">
        <v>2015</v>
      </c>
      <c r="H176">
        <v>2016</v>
      </c>
      <c r="K176">
        <v>5400</v>
      </c>
      <c r="L176" s="9">
        <v>940</v>
      </c>
      <c r="T176">
        <v>86</v>
      </c>
      <c r="W176">
        <v>317</v>
      </c>
      <c r="X176" s="4">
        <f>IF(AND(T176&gt;0,W176&gt;0),(W176/((T176+U176)*10)),"")</f>
        <v>0.36860465116279068</v>
      </c>
      <c r="Y176">
        <v>100</v>
      </c>
      <c r="AA176">
        <v>20.5</v>
      </c>
      <c r="AB176">
        <v>20.5</v>
      </c>
      <c r="AE176" s="11">
        <v>0</v>
      </c>
      <c r="AF176" t="str">
        <f>CONCATENATE(VLOOKUP(AG176, 'Voxel Sizes'!$A$2:$B$18,2,FALSE),"x",INT(AC176*15), "x", INT(AD176*15))</f>
        <v>198x0x0</v>
      </c>
      <c r="AG176">
        <f>ROUND(15*((AB176*10)/256),0)</f>
        <v>12</v>
      </c>
      <c r="AI176" t="str">
        <f>CONCATENATE(VLOOKUP(AG176,Constants!$A$2:$C$16,IF(AH176&lt;&gt;"", 3, 2), FALSE),IF(AH176&lt;&gt;"",CONCATENATE(",",VLOOKUP(AH176,$B:$AI,34,FALSE)),""))</f>
        <v>4,4,4</v>
      </c>
      <c r="AP176">
        <v>40</v>
      </c>
      <c r="AQ176" t="str">
        <f>IF(I176&lt;&gt;"",MAX(8,(I176-G176)-4),"")</f>
        <v/>
      </c>
      <c r="AT176">
        <f>MIN(Y176/150, 1)*30</f>
        <v>20</v>
      </c>
      <c r="AU176">
        <f>MIN(K176/4000, 1)*20</f>
        <v>20</v>
      </c>
      <c r="AV176">
        <f>MIN(W176/400,1)*20</f>
        <v>15.85</v>
      </c>
      <c r="AW176" s="4">
        <v>1</v>
      </c>
      <c r="AX176">
        <f>((MAX($J176,1)*MIN($AE176/300,1)))*IF(D176="Wagon",50,10)</f>
        <v>0</v>
      </c>
      <c r="AY176">
        <f>VLOOKUP($E176,Constants!$I:$K, 2, FALSE)</f>
        <v>0.9</v>
      </c>
      <c r="AZ176">
        <f>VLOOKUP($E176,Constants!$I:$K, 3, FALSE)*IF(AND(D176="multiple_unit",Y176&lt;110),0.75,1)</f>
        <v>2.5</v>
      </c>
      <c r="BA176">
        <f>INT(POWER(((Constants!$G$2+$AT176+$AU176+$AV176+$AX176)*$AW176)*$AZ176, 1.05))+$AS176</f>
        <v>195</v>
      </c>
      <c r="BB176">
        <f>INT(((Constants!$G$1+$AT176+$AU176+$AV176+$AX176)*(1/$AW176))*$AY176)+$AR176</f>
        <v>81</v>
      </c>
      <c r="BL176" t="str">
        <f>VLOOKUP(G176,Eras!$A$2:$C$10, 2, TRUE)</f>
        <v>mod</v>
      </c>
      <c r="BM176" t="s">
        <v>381</v>
      </c>
      <c r="BN176" t="str">
        <f>CONCATENATE(BL176,"_",BM176)</f>
        <v>mod_Freight (Electric)</v>
      </c>
      <c r="BO176" t="str">
        <f t="shared" si="8"/>
        <v/>
      </c>
      <c r="BP176" t="str">
        <f t="shared" si="9"/>
        <v/>
      </c>
      <c r="BR176" t="str">
        <f t="shared" si="10"/>
        <v/>
      </c>
      <c r="BS176" t="str">
        <f t="shared" si="11"/>
        <v>{SILVER}</v>
      </c>
    </row>
    <row r="177" spans="1:71" x14ac:dyDescent="0.25">
      <c r="A177" t="s">
        <v>151</v>
      </c>
      <c r="B177" t="s">
        <v>183</v>
      </c>
      <c r="C177">
        <v>420</v>
      </c>
      <c r="D177" t="s">
        <v>455</v>
      </c>
      <c r="E177" t="s">
        <v>314</v>
      </c>
      <c r="F177" t="s">
        <v>316</v>
      </c>
      <c r="G177">
        <v>1903</v>
      </c>
      <c r="I177">
        <v>1940</v>
      </c>
      <c r="J177">
        <v>1</v>
      </c>
      <c r="K177">
        <v>85</v>
      </c>
      <c r="T177">
        <v>35</v>
      </c>
      <c r="V177">
        <v>7</v>
      </c>
      <c r="W177">
        <v>45</v>
      </c>
      <c r="X177" s="4">
        <f>IF(AND(T177&gt;0,W177&gt;0),(W177/((T177+U177)*10)),"")</f>
        <v>0.12857142857142856</v>
      </c>
      <c r="Y177">
        <v>40</v>
      </c>
      <c r="AA177">
        <v>16.7</v>
      </c>
      <c r="AB177">
        <v>16.7</v>
      </c>
      <c r="AC177">
        <v>2.59</v>
      </c>
      <c r="AD177">
        <v>3.98</v>
      </c>
      <c r="AE177" s="11">
        <v>48</v>
      </c>
      <c r="AF177" t="str">
        <f>CONCATENATE(VLOOKUP(AG177, 'Voxel Sizes'!$A$2:$B$18,2,FALSE),"x",INT(AC177*15), "x", INT(AD177*15))</f>
        <v>164x38x59</v>
      </c>
      <c r="AG177">
        <f>ROUND(15*((AB177*10)/256),0)</f>
        <v>10</v>
      </c>
      <c r="AI177" t="str">
        <f>CONCATENATE(VLOOKUP(AG177,Constants!$A$2:$C$16,IF(AH177&lt;&gt;"", 3, 2), FALSE),IF(AH177&lt;&gt;"",CONCATENATE(",",VLOOKUP(AH177,$B:$AI,34,FALSE)),""))</f>
        <v>4,2,4</v>
      </c>
      <c r="AK177" t="s">
        <v>183</v>
      </c>
      <c r="AM177">
        <v>1</v>
      </c>
      <c r="AP177">
        <v>27</v>
      </c>
      <c r="AQ177">
        <f>IF(I177&lt;&gt;"",MAX(8,(I177-G177)-4),"")</f>
        <v>33</v>
      </c>
      <c r="AR177">
        <v>-15</v>
      </c>
      <c r="AS177">
        <v>-5</v>
      </c>
      <c r="AT177">
        <f>MIN(Y177/150, 1)*30</f>
        <v>8</v>
      </c>
      <c r="AU177">
        <f>MIN(K177/4000, 1)*20</f>
        <v>0.42500000000000004</v>
      </c>
      <c r="AV177">
        <f>MIN(W177/400,1)*20</f>
        <v>2.25</v>
      </c>
      <c r="AW177" s="4">
        <v>1</v>
      </c>
      <c r="AX177">
        <f>((MAX($J177,1)*MIN($AE177/300,1)))*IF(D177="Wagon",50,10)</f>
        <v>1.6</v>
      </c>
      <c r="AY177">
        <f>VLOOKUP($E177,Constants!$I:$K, 2, FALSE)</f>
        <v>1</v>
      </c>
      <c r="AZ177">
        <f>VLOOKUP($E177,Constants!$I:$K, 3, FALSE)*IF(AND(D177="multiple_unit",Y177&lt;110),0.75,1)</f>
        <v>1.5</v>
      </c>
      <c r="BA177">
        <f>INT(POWER(((Constants!$G$2+$AT177+$AU177+$AV177+$AX177)*$AW177)*$AZ177, 1.05))+$AS177</f>
        <v>25</v>
      </c>
      <c r="BB177">
        <f>INT(((Constants!$G$1+$AT177+$AU177+$AV177+$AX177)*(1/$AW177))*$AY177)+$AR177</f>
        <v>32</v>
      </c>
      <c r="BK177" t="s">
        <v>325</v>
      </c>
      <c r="BL177" t="str">
        <f>VLOOKUP(G177,Eras!$A$2:$C$10, 2, TRUE)</f>
        <v>edw</v>
      </c>
      <c r="BM177" t="s">
        <v>372</v>
      </c>
      <c r="BN177" t="str">
        <f>CONCATENATE(BL177,"_",BM177)</f>
        <v>edw_DMU (Cheap)</v>
      </c>
      <c r="BO177" t="str">
        <f t="shared" si="8"/>
        <v/>
      </c>
      <c r="BP177" t="str">
        <f t="shared" si="9"/>
        <v/>
      </c>
      <c r="BQ177" t="s">
        <v>391</v>
      </c>
      <c r="BR177" t="str">
        <f t="shared" si="10"/>
        <v/>
      </c>
      <c r="BS177" t="str">
        <f t="shared" si="11"/>
        <v>{SILVER}The NER Autocar is a petrol-electric railcar with a petrol engine driving two electric motors. It was the first use of an internal combustion engine in a railway vehicle.</v>
      </c>
    </row>
    <row r="178" spans="1:71" x14ac:dyDescent="0.25">
      <c r="A178" t="s">
        <v>443</v>
      </c>
      <c r="B178" t="s">
        <v>445</v>
      </c>
      <c r="C178">
        <v>422</v>
      </c>
      <c r="D178" t="s">
        <v>455</v>
      </c>
      <c r="E178" t="s">
        <v>338</v>
      </c>
      <c r="F178" t="s">
        <v>345</v>
      </c>
      <c r="G178">
        <v>1914</v>
      </c>
      <c r="I178">
        <v>1960</v>
      </c>
      <c r="J178">
        <v>3</v>
      </c>
      <c r="K178">
        <v>1000</v>
      </c>
      <c r="T178">
        <v>117</v>
      </c>
      <c r="W178">
        <v>112</v>
      </c>
      <c r="X178" s="4">
        <f>IF(AND(T178&gt;0,W178&gt;0),(W178/((T178+U178)*10)),"")</f>
        <v>9.5726495726495733E-2</v>
      </c>
      <c r="Y178">
        <v>60</v>
      </c>
      <c r="AB178">
        <v>17.7</v>
      </c>
      <c r="AE178" s="11">
        <v>45</v>
      </c>
      <c r="AF178" t="str">
        <f>CONCATENATE(VLOOKUP(AG178, 'Voxel Sizes'!$A$2:$B$18,2,FALSE),"x",INT(AC178*15), "x", INT(AD178*15))</f>
        <v>164x0x0</v>
      </c>
      <c r="AG178">
        <f>ROUND(15*((AB178*10)/256),0)</f>
        <v>10</v>
      </c>
      <c r="AI178" t="str">
        <f>CONCATENATE(VLOOKUP(AG178,Constants!$A$2:$C$16,IF(AH178&lt;&gt;"", 3, 2), FALSE),IF(AH178&lt;&gt;"",CONCATENATE(",",VLOOKUP(AH178,$B:$AI,34,FALSE)),""))</f>
        <v>4,2,4</v>
      </c>
      <c r="AK178" t="s">
        <v>456</v>
      </c>
      <c r="AM178" t="s">
        <v>454</v>
      </c>
      <c r="AP178">
        <v>35</v>
      </c>
      <c r="AQ178">
        <f>IF(I178&lt;&gt;"",MAX(8,(I178-G178)-4),"")</f>
        <v>42</v>
      </c>
      <c r="AT178">
        <f>MIN(Y178/150, 1)*30</f>
        <v>12</v>
      </c>
      <c r="AU178">
        <f>MIN(K178/4000, 1)*20</f>
        <v>5</v>
      </c>
      <c r="AV178">
        <f>MIN(W178/400,1)*20</f>
        <v>5.6000000000000005</v>
      </c>
      <c r="AW178" s="4">
        <v>1</v>
      </c>
      <c r="AX178">
        <f>((MAX($J178,1)*MIN($AE178/300,1)))*IF(D178="Wagon",50,10)</f>
        <v>4.5</v>
      </c>
      <c r="AY178">
        <f>VLOOKUP($E178,Constants!$I:$K, 2, FALSE)</f>
        <v>0.85</v>
      </c>
      <c r="AZ178">
        <f>VLOOKUP($E178,Constants!$I:$K, 3, FALSE)*IF(AND(D178="multiple_unit",Y178&lt;110),0.75,1)</f>
        <v>1.7249999999999999</v>
      </c>
      <c r="BA178">
        <f>INT(POWER(((Constants!$G$2+$AT178+$AU178+$AV178+$AX178)*$AW178)*$AZ178, 1.05))+$AS178</f>
        <v>67</v>
      </c>
      <c r="BB178">
        <f>INT(((Constants!$G$1+$AT178+$AU178+$AV178+$AX178)*(1/$AW178))*$AY178)+$AR178</f>
        <v>52</v>
      </c>
      <c r="BK178" t="s">
        <v>325</v>
      </c>
      <c r="BL178" t="str">
        <f>VLOOKUP(G178,Eras!$A$2:$C$10, 2, TRUE)</f>
        <v>edw</v>
      </c>
      <c r="BM178" t="s">
        <v>375</v>
      </c>
      <c r="BN178" t="str">
        <f>CONCATENATE(BL178,"_",BM178)</f>
        <v>edw_EMU</v>
      </c>
      <c r="BO178" t="str">
        <f t="shared" si="8"/>
        <v/>
      </c>
      <c r="BP178" t="str">
        <f t="shared" si="9"/>
        <v>{BLACK}Cars: {GOLD}3{}</v>
      </c>
      <c r="BQ178" t="s">
        <v>444</v>
      </c>
      <c r="BR178" t="str">
        <f t="shared" si="10"/>
        <v/>
      </c>
      <c r="BS178" t="str">
        <f t="shared" si="11"/>
        <v>{BLACK}Cars: {GOLD}3{}{SILVER}The LNWR built electric multiple units for its inner suburban London routes, sharing track with the Bakerloo and District lines.</v>
      </c>
    </row>
    <row r="179" spans="1:71" x14ac:dyDescent="0.25">
      <c r="A179" t="s">
        <v>79</v>
      </c>
      <c r="B179" t="s">
        <v>271</v>
      </c>
      <c r="C179">
        <v>424</v>
      </c>
      <c r="D179" t="s">
        <v>455</v>
      </c>
      <c r="E179" t="s">
        <v>338</v>
      </c>
      <c r="F179" t="s">
        <v>345</v>
      </c>
      <c r="G179">
        <v>1932</v>
      </c>
      <c r="I179">
        <v>1972</v>
      </c>
      <c r="J179">
        <v>5</v>
      </c>
      <c r="K179">
        <v>1800</v>
      </c>
      <c r="T179">
        <v>253</v>
      </c>
      <c r="W179">
        <v>145</v>
      </c>
      <c r="X179" s="4">
        <f>IF(AND(T179&gt;0,W179&gt;0),(W179/((T179+U179)*10)),"")</f>
        <v>5.731225296442688E-2</v>
      </c>
      <c r="Y179">
        <v>75</v>
      </c>
      <c r="AA179">
        <v>20.11</v>
      </c>
      <c r="AB179">
        <v>20.11</v>
      </c>
      <c r="AE179" s="11">
        <v>33</v>
      </c>
      <c r="AF179" t="str">
        <f>CONCATENATE(VLOOKUP(AG179, 'Voxel Sizes'!$A$2:$B$18,2,FALSE),"x",INT(AC179*15), "x", INT(AD179*15))</f>
        <v>198x0x0</v>
      </c>
      <c r="AG179">
        <f>ROUND(15*((AB179*10)/256),0)</f>
        <v>12</v>
      </c>
      <c r="AI179" t="str">
        <f>CONCATENATE(VLOOKUP(AG179,Constants!$A$2:$C$16,IF(AH179&lt;&gt;"", 3, 2), FALSE),IF(AH179&lt;&gt;"",CONCATENATE(",",VLOOKUP(AH179,$B:$AI,34,FALSE)),""))</f>
        <v>4,4,4</v>
      </c>
      <c r="AK179" t="s">
        <v>497</v>
      </c>
      <c r="AM179" t="s">
        <v>500</v>
      </c>
      <c r="AP179">
        <v>38</v>
      </c>
      <c r="AQ179">
        <f>IF(I179&lt;&gt;"",MAX(8,(I179-G179)-4),"")</f>
        <v>36</v>
      </c>
      <c r="AT179">
        <f>MIN(Y179/150, 1)*30</f>
        <v>15</v>
      </c>
      <c r="AU179">
        <f>MIN(K179/4000, 1)*20</f>
        <v>9</v>
      </c>
      <c r="AV179">
        <f>MIN(W179/400,1)*20</f>
        <v>7.25</v>
      </c>
      <c r="AW179" s="4">
        <v>1</v>
      </c>
      <c r="AX179">
        <f>((MAX($J179,1)*MIN($AE179/300,1)))*IF(D179="Wagon",50,10)</f>
        <v>5.5</v>
      </c>
      <c r="AY179">
        <f>VLOOKUP($E179,Constants!$I:$K, 2, FALSE)</f>
        <v>0.85</v>
      </c>
      <c r="AZ179">
        <f>VLOOKUP($E179,Constants!$I:$K, 3, FALSE)*IF(AND(D179="multiple_unit",Y179&lt;110),0.75,1)</f>
        <v>1.7249999999999999</v>
      </c>
      <c r="BA179">
        <f>INT(POWER(((Constants!$G$2+$AT179+$AU179+$AV179+$AX179)*$AW179)*$AZ179, 1.05))+$AS179</f>
        <v>89</v>
      </c>
      <c r="BB179">
        <f>INT(((Constants!$G$1+$AT179+$AU179+$AV179+$AX179)*(1/$AW179))*$AY179)+$AR179</f>
        <v>60</v>
      </c>
      <c r="BK179" t="s">
        <v>325</v>
      </c>
      <c r="BL179" t="str">
        <f>VLOOKUP(G179,Eras!$A$2:$C$10, 2, TRUE)</f>
        <v>big4</v>
      </c>
      <c r="BM179" t="s">
        <v>376</v>
      </c>
      <c r="BN179" t="str">
        <f>CONCATENATE(BL179,"_",BM179)</f>
        <v>big4_EMU (Express)</v>
      </c>
      <c r="BO179" t="str">
        <f t="shared" si="8"/>
        <v/>
      </c>
      <c r="BP179" t="str">
        <f t="shared" si="9"/>
        <v>{BLACK}Cars: {GOLD}5{}</v>
      </c>
      <c r="BQ179" t="s">
        <v>496</v>
      </c>
      <c r="BR179" t="str">
        <f t="shared" si="10"/>
        <v/>
      </c>
      <c r="BS179" t="str">
        <f t="shared" si="11"/>
        <v>{BLACK}Cars: {GOLD}5{}{SILVER}The Southern Railway's "Brighton Belle" used Pullman coaches and remained in use well into the BR era.</v>
      </c>
    </row>
    <row r="180" spans="1:71" x14ac:dyDescent="0.25">
      <c r="A180" t="s">
        <v>80</v>
      </c>
      <c r="B180" t="s">
        <v>272</v>
      </c>
      <c r="C180">
        <v>426</v>
      </c>
      <c r="D180" t="s">
        <v>455</v>
      </c>
      <c r="E180" t="s">
        <v>338</v>
      </c>
      <c r="F180" t="s">
        <v>345</v>
      </c>
      <c r="G180">
        <v>1937</v>
      </c>
      <c r="H180">
        <v>1938</v>
      </c>
      <c r="I180">
        <v>1972</v>
      </c>
      <c r="J180">
        <v>4</v>
      </c>
      <c r="K180">
        <v>900</v>
      </c>
      <c r="T180">
        <v>160.80000000000001</v>
      </c>
      <c r="V180">
        <v>8</v>
      </c>
      <c r="W180">
        <v>120</v>
      </c>
      <c r="X180" s="4">
        <f>IF(AND(T180&gt;0,W180&gt;0),(W180/((T180+U180)*10)),"")</f>
        <v>7.4626865671641784E-2</v>
      </c>
      <c r="Y180">
        <v>75</v>
      </c>
      <c r="AA180">
        <v>20</v>
      </c>
      <c r="AB180">
        <v>20</v>
      </c>
      <c r="AE180" s="11">
        <v>57</v>
      </c>
      <c r="AF180" t="str">
        <f>CONCATENATE(VLOOKUP(AG180, 'Voxel Sizes'!$A$2:$B$18,2,FALSE),"x",INT(AC180*15), "x", INT(AD180*15))</f>
        <v>198x0x0</v>
      </c>
      <c r="AG180">
        <f>ROUND(15*((AB180*10)/256),0)</f>
        <v>12</v>
      </c>
      <c r="AI180" t="str">
        <f>CONCATENATE(VLOOKUP(AG180,Constants!$A$2:$C$16,IF(AH180&lt;&gt;"", 3, 2), FALSE),IF(AH180&lt;&gt;"",CONCATENATE(",",VLOOKUP(AH180,$B:$AI,34,FALSE)),""))</f>
        <v>4,4,4</v>
      </c>
      <c r="AK180" t="s">
        <v>516</v>
      </c>
      <c r="AM180" t="s">
        <v>517</v>
      </c>
      <c r="AP180">
        <v>46</v>
      </c>
      <c r="AQ180">
        <f>IF(I180&lt;&gt;"",MAX(8,(I180-G180)-4),"")</f>
        <v>31</v>
      </c>
      <c r="AT180">
        <f>MIN(Y180/150, 1)*30</f>
        <v>15</v>
      </c>
      <c r="AU180">
        <f>MIN(K180/4000, 1)*20</f>
        <v>4.5</v>
      </c>
      <c r="AV180">
        <f>MIN(W180/400,1)*20</f>
        <v>6</v>
      </c>
      <c r="AW180" s="4">
        <v>1</v>
      </c>
      <c r="AX180">
        <f>((MAX($J180,1)*MIN($AE180/300,1)))*IF(D180="Wagon",50,10)</f>
        <v>7.6</v>
      </c>
      <c r="AY180">
        <f>VLOOKUP($E180,Constants!$I:$K, 2, FALSE)</f>
        <v>0.85</v>
      </c>
      <c r="AZ180">
        <f>VLOOKUP($E180,Constants!$I:$K, 3, FALSE)*IF(AND(D180="multiple_unit",Y180&lt;110),0.75,1)</f>
        <v>1.7249999999999999</v>
      </c>
      <c r="BA180">
        <f>INT(POWER(((Constants!$G$2+$AT180+$AU180+$AV180+$AX180)*$AW180)*$AZ180, 1.05))+$AS180</f>
        <v>81</v>
      </c>
      <c r="BB180">
        <f>INT(((Constants!$G$1+$AT180+$AU180+$AV180+$AX180)*(1/$AW180))*$AY180)+$AR180</f>
        <v>57</v>
      </c>
      <c r="BK180" t="s">
        <v>325</v>
      </c>
      <c r="BL180" t="str">
        <f>VLOOKUP(G180,Eras!$A$2:$C$10, 2, TRUE)</f>
        <v>big4</v>
      </c>
      <c r="BM180" t="s">
        <v>375</v>
      </c>
      <c r="BN180" t="str">
        <f>CONCATENATE(BL180,"_",BM180)</f>
        <v>big4_EMU</v>
      </c>
      <c r="BO180" t="str">
        <f t="shared" si="8"/>
        <v/>
      </c>
      <c r="BP180" t="str">
        <f t="shared" si="9"/>
        <v>{BLACK}Cars: {GOLD}4{}</v>
      </c>
      <c r="BQ180" t="s">
        <v>514</v>
      </c>
      <c r="BR180" t="str">
        <f t="shared" si="10"/>
        <v/>
      </c>
      <c r="BS180" t="str">
        <f t="shared" si="11"/>
        <v>{BLACK}Cars: {GOLD}4{}{SILVER}The Southern Railway was an early pioneer of electrification, with 4-COR units used between London Waterloo and Portsmouth.</v>
      </c>
    </row>
    <row r="181" spans="1:71" x14ac:dyDescent="0.25">
      <c r="A181" t="s">
        <v>81</v>
      </c>
      <c r="B181" t="s">
        <v>273</v>
      </c>
      <c r="C181">
        <v>428</v>
      </c>
      <c r="D181" t="s">
        <v>455</v>
      </c>
      <c r="E181" t="s">
        <v>338</v>
      </c>
      <c r="F181" t="s">
        <v>345</v>
      </c>
      <c r="G181">
        <v>1938</v>
      </c>
      <c r="H181">
        <v>1939</v>
      </c>
      <c r="I181">
        <v>1971</v>
      </c>
      <c r="J181">
        <v>2</v>
      </c>
      <c r="K181">
        <v>550</v>
      </c>
      <c r="T181">
        <v>77</v>
      </c>
      <c r="V181">
        <v>8</v>
      </c>
      <c r="W181">
        <v>120</v>
      </c>
      <c r="X181" s="4">
        <f>IF(AND(T181&gt;0,W181&gt;0),(W181/((T181+U181)*10)),"")</f>
        <v>0.15584415584415584</v>
      </c>
      <c r="Y181">
        <v>75</v>
      </c>
      <c r="AA181">
        <v>20</v>
      </c>
      <c r="AB181">
        <v>20</v>
      </c>
      <c r="AE181" s="11">
        <f>(24+102)/2</f>
        <v>63</v>
      </c>
      <c r="AF181" t="str">
        <f>CONCATENATE(VLOOKUP(AG181, 'Voxel Sizes'!$A$2:$B$18,2,FALSE),"x",INT(AC181*15), "x", INT(AD181*15))</f>
        <v>198x0x0</v>
      </c>
      <c r="AG181">
        <f>ROUND(15*((AB181*10)/256),0)</f>
        <v>12</v>
      </c>
      <c r="AI181" t="str">
        <f>CONCATENATE(VLOOKUP(AG181,Constants!$A$2:$C$16,IF(AH181&lt;&gt;"", 3, 2), FALSE),IF(AH181&lt;&gt;"",CONCATENATE(",",VLOOKUP(AH181,$B:$AI,34,FALSE)),""))</f>
        <v>4,4,4</v>
      </c>
      <c r="AK181" t="s">
        <v>518</v>
      </c>
      <c r="AM181" t="s">
        <v>519</v>
      </c>
      <c r="AP181">
        <v>46</v>
      </c>
      <c r="AQ181">
        <f>IF(I181&lt;&gt;"",MAX(8,(I181-G181)-4),"")</f>
        <v>29</v>
      </c>
      <c r="AT181">
        <f>MIN(Y181/150, 1)*30</f>
        <v>15</v>
      </c>
      <c r="AU181">
        <f>MIN(K181/4000, 1)*20</f>
        <v>2.75</v>
      </c>
      <c r="AV181">
        <f>MIN(W181/400,1)*20</f>
        <v>6</v>
      </c>
      <c r="AW181" s="4">
        <v>1</v>
      </c>
      <c r="AX181">
        <f>((MAX($J181,1)*MIN($AE181/300,1)))*IF(D181="Wagon",50,10)</f>
        <v>4.2</v>
      </c>
      <c r="AY181">
        <f>VLOOKUP($E181,Constants!$I:$K, 2, FALSE)</f>
        <v>0.85</v>
      </c>
      <c r="AZ181">
        <f>VLOOKUP($E181,Constants!$I:$K, 3, FALSE)*IF(AND(D181="multiple_unit",Y181&lt;110),0.75,1)</f>
        <v>1.7249999999999999</v>
      </c>
      <c r="BA181">
        <f>INT(POWER(((Constants!$G$2+$AT181+$AU181+$AV181+$AX181)*$AW181)*$AZ181, 1.05))+$AS181</f>
        <v>69</v>
      </c>
      <c r="BB181">
        <f>INT(((Constants!$G$1+$AT181+$AU181+$AV181+$AX181)*(1/$AW181))*$AY181)+$AR181</f>
        <v>53</v>
      </c>
      <c r="BK181" t="s">
        <v>325</v>
      </c>
      <c r="BL181" t="str">
        <f>VLOOKUP(G181,Eras!$A$2:$C$10, 2, TRUE)</f>
        <v>big4</v>
      </c>
      <c r="BM181" t="s">
        <v>375</v>
      </c>
      <c r="BN181" t="str">
        <f>CONCATENATE(BL181,"_",BM181)</f>
        <v>big4_EMU</v>
      </c>
      <c r="BO181" t="str">
        <f t="shared" si="8"/>
        <v/>
      </c>
      <c r="BP181" t="str">
        <f t="shared" si="9"/>
        <v>{BLACK}Cars: {GOLD}2{}</v>
      </c>
      <c r="BQ181" t="s">
        <v>515</v>
      </c>
      <c r="BR181" t="str">
        <f t="shared" si="10"/>
        <v/>
      </c>
      <c r="BS181" t="str">
        <f t="shared" si="11"/>
        <v>{BLACK}Cars: {GOLD}2{}{SILVER}The 2-HAL (named for 2 units, Half Lavatory) is designed for suburban commuter services.</v>
      </c>
    </row>
    <row r="182" spans="1:71" x14ac:dyDescent="0.25">
      <c r="A182" t="s">
        <v>97</v>
      </c>
      <c r="B182" t="s">
        <v>220</v>
      </c>
      <c r="C182">
        <v>430</v>
      </c>
      <c r="D182" t="s">
        <v>455</v>
      </c>
      <c r="E182" t="s">
        <v>338</v>
      </c>
      <c r="F182" t="s">
        <v>339</v>
      </c>
      <c r="G182">
        <v>1954</v>
      </c>
      <c r="I182">
        <v>1984</v>
      </c>
      <c r="J182">
        <v>3</v>
      </c>
      <c r="K182">
        <v>740</v>
      </c>
      <c r="T182">
        <f>51.4+26.8+27.9</f>
        <v>106.1</v>
      </c>
      <c r="W182">
        <v>110</v>
      </c>
      <c r="X182" s="4">
        <f>IF(AND(T182&gt;0,W182&gt;0),(W182/((T182+U182)*10)),"")</f>
        <v>0.10367577756833177</v>
      </c>
      <c r="Y182">
        <v>75</v>
      </c>
      <c r="AA182">
        <v>18.100000000000001</v>
      </c>
      <c r="AB182">
        <v>18.100000000000001</v>
      </c>
      <c r="AC182">
        <v>2.82</v>
      </c>
      <c r="AD182">
        <v>3.87</v>
      </c>
      <c r="AE182" s="11">
        <v>57</v>
      </c>
      <c r="AF182" t="str">
        <f>CONCATENATE(VLOOKUP(AG182, 'Voxel Sizes'!$A$2:$B$18,2,FALSE),"x",INT(AC182*15), "x", INT(AD182*15))</f>
        <v>186x42x58</v>
      </c>
      <c r="AG182">
        <f>ROUND(15*((AB182*10)/256),0)</f>
        <v>11</v>
      </c>
      <c r="AI182" t="str">
        <f>CONCATENATE(VLOOKUP(AG182,Constants!$A$2:$C$16,IF(AH182&lt;&gt;"", 3, 2), FALSE),IF(AH182&lt;&gt;"",CONCATENATE(",",VLOOKUP(AH182,$B:$AI,34,FALSE)),""))</f>
        <v>4,3,4</v>
      </c>
      <c r="AK182" t="s">
        <v>669</v>
      </c>
      <c r="AM182" t="s">
        <v>334</v>
      </c>
      <c r="AP182">
        <v>45</v>
      </c>
      <c r="AQ182">
        <f>IF(I182&lt;&gt;"",MAX(8,(I182-G182)-4),"")</f>
        <v>26</v>
      </c>
      <c r="AT182">
        <f>MIN(Y182/150, 1)*30</f>
        <v>15</v>
      </c>
      <c r="AU182">
        <f>MIN(K182/4000, 1)*20</f>
        <v>3.7</v>
      </c>
      <c r="AV182">
        <f>MIN(W182/400,1)*20</f>
        <v>5.5</v>
      </c>
      <c r="AW182" s="4">
        <v>1</v>
      </c>
      <c r="AX182">
        <f>((MAX($J182,1)*MIN($AE182/300,1)))*IF(D182="Wagon",50,10)</f>
        <v>5.7000000000000011</v>
      </c>
      <c r="AY182">
        <f>VLOOKUP($E182,Constants!$I:$K, 2, FALSE)</f>
        <v>0.85</v>
      </c>
      <c r="AZ182">
        <f>VLOOKUP($E182,Constants!$I:$K, 3, FALSE)*IF(AND(D182="multiple_unit",Y182&lt;110),0.75,1)</f>
        <v>1.7249999999999999</v>
      </c>
      <c r="BA182">
        <f>INT(POWER(((Constants!$G$2+$AT182+$AU182+$AV182+$AX182)*$AW182)*$AZ182, 1.05))+$AS182</f>
        <v>73</v>
      </c>
      <c r="BB182">
        <f>INT(((Constants!$G$1+$AT182+$AU182+$AV182+$AX182)*(1/$AW182))*$AY182)+$AR182</f>
        <v>55</v>
      </c>
      <c r="BK182" t="s">
        <v>325</v>
      </c>
      <c r="BL182" t="str">
        <f>VLOOKUP(G182,Eras!$A$2:$C$10, 2, TRUE)</f>
        <v>ebr</v>
      </c>
      <c r="BM182" t="s">
        <v>375</v>
      </c>
      <c r="BN182" t="str">
        <f>CONCATENATE(BL182,"_",BM182)</f>
        <v>ebr_EMU</v>
      </c>
      <c r="BO182" t="str">
        <f t="shared" si="8"/>
        <v/>
      </c>
      <c r="BP182" t="str">
        <f t="shared" si="9"/>
        <v>{BLACK}Cars: {GOLD}3{}</v>
      </c>
      <c r="BQ182" t="s">
        <v>670</v>
      </c>
      <c r="BR182" t="str">
        <f t="shared" si="10"/>
        <v/>
      </c>
      <c r="BS182" t="str">
        <f t="shared" si="11"/>
        <v>{BLACK}Cars: {GOLD}3{}{SILVER}The Class 506 was built by Metro Cammell and BRCW for the Woodhead Line.</v>
      </c>
    </row>
    <row r="183" spans="1:71" x14ac:dyDescent="0.25">
      <c r="A183" t="s">
        <v>84</v>
      </c>
      <c r="B183" t="s">
        <v>214</v>
      </c>
      <c r="C183">
        <v>432</v>
      </c>
      <c r="D183" t="s">
        <v>169</v>
      </c>
      <c r="E183" t="s">
        <v>314</v>
      </c>
      <c r="F183" t="s">
        <v>316</v>
      </c>
      <c r="G183">
        <v>1956</v>
      </c>
      <c r="H183">
        <v>1959</v>
      </c>
      <c r="I183">
        <v>1988</v>
      </c>
      <c r="K183">
        <v>300</v>
      </c>
      <c r="T183">
        <f>30.5*2</f>
        <v>61</v>
      </c>
      <c r="X183" s="4" t="str">
        <f>IF(AND(T183&gt;0,W183&gt;0),(W183/((T183+U183)*10)),"")</f>
        <v/>
      </c>
      <c r="Y183">
        <v>70</v>
      </c>
      <c r="AA183">
        <v>17.53</v>
      </c>
      <c r="AB183">
        <v>17.53</v>
      </c>
      <c r="AD183">
        <v>3.84</v>
      </c>
      <c r="AE183" s="11">
        <v>0</v>
      </c>
      <c r="AF183" t="str">
        <f>CONCATENATE(VLOOKUP(AG183, 'Voxel Sizes'!$A$2:$B$18,2,FALSE),"x",INT(AC183*15), "x", INT(AD183*15))</f>
        <v>164x0x57</v>
      </c>
      <c r="AG183">
        <f>ROUND(15*((AB183*10)/256),0)</f>
        <v>10</v>
      </c>
      <c r="AI183" t="str">
        <f>CONCATENATE(VLOOKUP(AG183,Constants!$A$2:$C$16,IF(AH183&lt;&gt;"", 3, 2), FALSE),IF(AH183&lt;&gt;"",CONCATENATE(",",VLOOKUP(AH183,$B:$AI,34,FALSE)),""))</f>
        <v>4,2,4</v>
      </c>
      <c r="AP183">
        <v>55</v>
      </c>
      <c r="AQ183">
        <f>IF(I183&lt;&gt;"",MAX(8,(I183-G183)-4),"")</f>
        <v>28</v>
      </c>
      <c r="AT183">
        <f>MIN(Y183/150, 1)*30</f>
        <v>14</v>
      </c>
      <c r="AU183">
        <f>MIN(K183/4000, 1)*20</f>
        <v>1.5</v>
      </c>
      <c r="AV183">
        <f>MIN(W183/400,1)*20</f>
        <v>0</v>
      </c>
      <c r="AW183" s="4">
        <v>1</v>
      </c>
      <c r="AX183">
        <f>((MAX($J183,1)*MIN($AE183/300,1)))*IF(D183="Wagon",50,10)</f>
        <v>0</v>
      </c>
      <c r="AY183">
        <f>VLOOKUP($E183,Constants!$I:$K, 2, FALSE)</f>
        <v>1</v>
      </c>
      <c r="AZ183">
        <f>VLOOKUP($E183,Constants!$I:$K, 3, FALSE)*IF(AND(D183="multiple_unit",Y183&lt;110),0.75,1)</f>
        <v>2</v>
      </c>
      <c r="BA183">
        <f>INT(POWER(((Constants!$G$2+$AT183+$AU183+$AV183+$AX183)*$AW183)*$AZ183, 1.05))+$AS183</f>
        <v>49</v>
      </c>
      <c r="BB183">
        <f>INT(((Constants!$G$1+$AT183+$AU183+$AV183+$AX183)*(1/$AW183))*$AY183)+$AR183</f>
        <v>50</v>
      </c>
      <c r="BL183" t="str">
        <f>VLOOKUP(G183,Eras!$A$2:$C$10, 2, TRUE)</f>
        <v>dsl</v>
      </c>
      <c r="BN183" t="str">
        <f>CONCATENATE(BL183,"_",BM183)</f>
        <v>dsl_</v>
      </c>
      <c r="BO183" t="str">
        <f t="shared" si="8"/>
        <v/>
      </c>
      <c r="BP183" t="str">
        <f t="shared" si="9"/>
        <v/>
      </c>
      <c r="BR183" t="str">
        <f t="shared" si="10"/>
        <v/>
      </c>
      <c r="BS183" t="str">
        <f t="shared" si="11"/>
        <v>{SILVER}</v>
      </c>
    </row>
    <row r="184" spans="1:71" x14ac:dyDescent="0.25">
      <c r="A184" t="s">
        <v>671</v>
      </c>
      <c r="B184" t="s">
        <v>673</v>
      </c>
      <c r="C184">
        <v>434</v>
      </c>
      <c r="D184" t="s">
        <v>455</v>
      </c>
      <c r="E184" t="s">
        <v>338</v>
      </c>
      <c r="F184" t="s">
        <v>345</v>
      </c>
      <c r="G184">
        <v>1956</v>
      </c>
      <c r="I184">
        <v>1995</v>
      </c>
      <c r="J184">
        <v>2</v>
      </c>
      <c r="K184">
        <v>500</v>
      </c>
      <c r="T184">
        <f>40+32</f>
        <v>72</v>
      </c>
      <c r="W184">
        <v>95</v>
      </c>
      <c r="X184" s="4">
        <f>IF(AND(T184&gt;0,W184&gt;0),(W184/((T184+U184)*10)),"")</f>
        <v>0.13194444444444445</v>
      </c>
      <c r="Y184">
        <v>90</v>
      </c>
      <c r="AA184">
        <v>19.05</v>
      </c>
      <c r="AB184">
        <v>19.05</v>
      </c>
      <c r="AC184">
        <v>2.82</v>
      </c>
      <c r="AD184">
        <v>3.89</v>
      </c>
      <c r="AE184" s="11">
        <v>54</v>
      </c>
      <c r="AF184" t="str">
        <f>CONCATENATE(VLOOKUP(AG184, 'Voxel Sizes'!$A$2:$B$18,2,FALSE),"x",INT(AC184*15), "x", INT(AD184*15))</f>
        <v>186x42x58</v>
      </c>
      <c r="AG184">
        <f>ROUND(15*((AB184*10)/256),0)</f>
        <v>11</v>
      </c>
      <c r="AI184" t="str">
        <f>CONCATENATE(VLOOKUP(AG184,Constants!$A$2:$C$16,IF(AH184&lt;&gt;"", 3, 2), FALSE),IF(AH184&lt;&gt;"",CONCATENATE(",",VLOOKUP(AH184,$B:$AI,34,FALSE)),""))</f>
        <v>4,3,4</v>
      </c>
      <c r="AK184" t="s">
        <v>674</v>
      </c>
      <c r="AM184" t="s">
        <v>519</v>
      </c>
      <c r="AP184">
        <v>43</v>
      </c>
      <c r="AQ184">
        <f>IF(I184&lt;&gt;"",MAX(8,(I184-G184)-4),"")</f>
        <v>35</v>
      </c>
      <c r="AT184">
        <f>MIN(Y184/150, 1)*30</f>
        <v>18</v>
      </c>
      <c r="AU184">
        <f>MIN(K184/4000, 1)*20</f>
        <v>2.5</v>
      </c>
      <c r="AV184">
        <f>MIN(W184/400,1)*20</f>
        <v>4.75</v>
      </c>
      <c r="AW184" s="4">
        <v>1</v>
      </c>
      <c r="AX184">
        <f>((MAX($J184,1)*MIN($AE184/300,1)))*IF(D184="Wagon",50,10)</f>
        <v>3.5999999999999996</v>
      </c>
      <c r="AY184">
        <f>VLOOKUP($E184,Constants!$I:$K, 2, FALSE)</f>
        <v>0.85</v>
      </c>
      <c r="AZ184">
        <f>VLOOKUP($E184,Constants!$I:$K, 3, FALSE)*IF(AND(D184="multiple_unit",Y184&lt;110),0.75,1)</f>
        <v>1.7249999999999999</v>
      </c>
      <c r="BA184">
        <f>INT(POWER(((Constants!$G$2+$AT184+$AU184+$AV184+$AX184)*$AW184)*$AZ184, 1.05))+$AS184</f>
        <v>71</v>
      </c>
      <c r="BB184">
        <f>INT(((Constants!$G$1+$AT184+$AU184+$AV184+$AX184)*(1/$AW184))*$AY184)+$AR184</f>
        <v>54</v>
      </c>
      <c r="BG184" t="s">
        <v>294</v>
      </c>
      <c r="BK184" t="s">
        <v>325</v>
      </c>
      <c r="BL184" t="str">
        <f>VLOOKUP(G184,Eras!$A$2:$C$10, 2, TRUE)</f>
        <v>dsl</v>
      </c>
      <c r="BM184" t="s">
        <v>376</v>
      </c>
      <c r="BN184" t="str">
        <f>CONCATENATE(BL184,"_",BM184)</f>
        <v>dsl_EMU (Express)</v>
      </c>
      <c r="BO184" t="str">
        <f t="shared" si="8"/>
        <v/>
      </c>
      <c r="BP184" t="str">
        <f t="shared" si="9"/>
        <v>{BLACK}Cars: {GOLD}2{}</v>
      </c>
      <c r="BQ184" t="s">
        <v>675</v>
      </c>
      <c r="BR184" t="str">
        <f t="shared" si="10"/>
        <v/>
      </c>
      <c r="BS184" t="str">
        <f t="shared" si="11"/>
        <v>{BLACK}Cars: {GOLD}2{}{SILVER}The Class 414 2 HAP (Half Lavatory, electro-Pneumatic brake) is a Southern Region electric multiple unit, geared for express duties.</v>
      </c>
    </row>
    <row r="185" spans="1:71" x14ac:dyDescent="0.25">
      <c r="A185" t="s">
        <v>575</v>
      </c>
      <c r="B185" t="s">
        <v>576</v>
      </c>
      <c r="C185">
        <v>436</v>
      </c>
      <c r="D185" t="s">
        <v>169</v>
      </c>
      <c r="E185" t="s">
        <v>314</v>
      </c>
      <c r="F185" t="s">
        <v>316</v>
      </c>
      <c r="G185">
        <v>1959</v>
      </c>
      <c r="H185">
        <v>1961</v>
      </c>
      <c r="I185">
        <v>1990</v>
      </c>
      <c r="K185">
        <v>600</v>
      </c>
      <c r="T185">
        <f>36.6+30.5+36.6</f>
        <v>103.69999999999999</v>
      </c>
      <c r="X185" s="4" t="str">
        <f>IF(AND(T185&gt;0,W185&gt;0),(W185/((T185+U185)*10)),"")</f>
        <v/>
      </c>
      <c r="Y185">
        <v>70</v>
      </c>
      <c r="AA185">
        <v>19.510000000000002</v>
      </c>
      <c r="AB185">
        <v>19.510000000000002</v>
      </c>
      <c r="AD185">
        <v>3.87</v>
      </c>
      <c r="AE185" s="11">
        <v>0</v>
      </c>
      <c r="AF185" t="str">
        <f>CONCATENATE(VLOOKUP(AG185, 'Voxel Sizes'!$A$2:$B$18,2,FALSE),"x",INT(AC185*15), "x", INT(AD185*15))</f>
        <v>186x0x58</v>
      </c>
      <c r="AG185">
        <f>ROUND(15*((AB185*10)/256),0)</f>
        <v>11</v>
      </c>
      <c r="AI185" t="str">
        <f>CONCATENATE(VLOOKUP(AG185,Constants!$A$2:$C$16,IF(AH185&lt;&gt;"", 3, 2), FALSE),IF(AH185&lt;&gt;"",CONCATENATE(",",VLOOKUP(AH185,$B:$AI,34,FALSE)),""))</f>
        <v>4,3,4</v>
      </c>
      <c r="AP185">
        <v>49</v>
      </c>
      <c r="AQ185">
        <f>IF(I185&lt;&gt;"",MAX(8,(I185-G185)-4),"")</f>
        <v>27</v>
      </c>
      <c r="AT185">
        <f>MIN(Y185/150, 1)*30</f>
        <v>14</v>
      </c>
      <c r="AU185">
        <f>MIN(K185/4000, 1)*20</f>
        <v>3</v>
      </c>
      <c r="AV185">
        <f>MIN(W185/400,1)*20</f>
        <v>0</v>
      </c>
      <c r="AW185" s="4">
        <v>1</v>
      </c>
      <c r="AX185">
        <f>((MAX($J185,1)*MIN($AE185/300,1)))*IF(D185="Wagon",50,10)</f>
        <v>0</v>
      </c>
      <c r="AY185">
        <f>VLOOKUP($E185,Constants!$I:$K, 2, FALSE)</f>
        <v>1</v>
      </c>
      <c r="AZ185">
        <f>VLOOKUP($E185,Constants!$I:$K, 3, FALSE)*IF(AND(D185="multiple_unit",Y185&lt;110),0.75,1)</f>
        <v>2</v>
      </c>
      <c r="BA185">
        <f>INT(POWER(((Constants!$G$2+$AT185+$AU185+$AV185+$AX185)*$AW185)*$AZ185, 1.05))+$AS185</f>
        <v>53</v>
      </c>
      <c r="BB185">
        <f>INT(((Constants!$G$1+$AT185+$AU185+$AV185+$AX185)*(1/$AW185))*$AY185)+$AR185</f>
        <v>52</v>
      </c>
      <c r="BL185" t="str">
        <f>VLOOKUP(G185,Eras!$A$2:$C$10, 2, TRUE)</f>
        <v>dsl</v>
      </c>
      <c r="BM185" t="s">
        <v>373</v>
      </c>
      <c r="BN185" t="str">
        <f>CONCATENATE(BL185,"_",BM185)</f>
        <v>dsl_DMU</v>
      </c>
      <c r="BO185" t="str">
        <f t="shared" si="8"/>
        <v/>
      </c>
      <c r="BP185" t="str">
        <f t="shared" si="9"/>
        <v/>
      </c>
      <c r="BR185" t="str">
        <f t="shared" si="10"/>
        <v/>
      </c>
      <c r="BS185" t="str">
        <f t="shared" si="11"/>
        <v>{SILVER}</v>
      </c>
    </row>
    <row r="186" spans="1:71" x14ac:dyDescent="0.25">
      <c r="A186" t="s">
        <v>147</v>
      </c>
      <c r="B186" t="s">
        <v>277</v>
      </c>
      <c r="C186">
        <v>438</v>
      </c>
      <c r="D186" t="s">
        <v>455</v>
      </c>
      <c r="E186" t="s">
        <v>314</v>
      </c>
      <c r="F186" t="s">
        <v>316</v>
      </c>
      <c r="G186">
        <v>1960</v>
      </c>
      <c r="I186">
        <v>1973</v>
      </c>
      <c r="J186">
        <v>6</v>
      </c>
      <c r="K186">
        <v>1000</v>
      </c>
      <c r="T186">
        <v>304</v>
      </c>
      <c r="W186">
        <v>155</v>
      </c>
      <c r="X186" s="4">
        <f>IF(AND(T186&gt;0,W186&gt;0),(W186/((T186+U186)*10)),"")</f>
        <v>5.0986842105263157E-2</v>
      </c>
      <c r="Y186">
        <v>90</v>
      </c>
      <c r="AA186">
        <v>20.260000000000002</v>
      </c>
      <c r="AB186">
        <v>20</v>
      </c>
      <c r="AC186">
        <v>2.9</v>
      </c>
      <c r="AD186">
        <v>3.77</v>
      </c>
      <c r="AE186" s="11">
        <v>0</v>
      </c>
      <c r="AF186" t="str">
        <f>CONCATENATE(VLOOKUP(AG186, 'Voxel Sizes'!$A$2:$B$18,2,FALSE),"x",INT(AC186*15), "x", INT(AD186*15))</f>
        <v>198x43x56</v>
      </c>
      <c r="AG186">
        <f>ROUND(15*((AB186*10)/256),0)</f>
        <v>12</v>
      </c>
      <c r="AI186" t="str">
        <f>CONCATENATE(VLOOKUP(AG186,Constants!$A$2:$C$16,IF(AH186&lt;&gt;"", 3, 2), FALSE),IF(AH186&lt;&gt;"",CONCATENATE(",",VLOOKUP(AH186,$B:$AI,34,FALSE)),""))</f>
        <v>4,4,4</v>
      </c>
      <c r="AK186" t="s">
        <v>581</v>
      </c>
      <c r="AM186" t="s">
        <v>582</v>
      </c>
      <c r="AP186">
        <v>32</v>
      </c>
      <c r="AQ186">
        <f>IF(I186&lt;&gt;"",MAX(8,(I186-G186)-4),"")</f>
        <v>9</v>
      </c>
      <c r="AT186">
        <f>MIN(Y186/150, 1)*30</f>
        <v>18</v>
      </c>
      <c r="AU186">
        <f>MIN(K186/4000, 1)*20</f>
        <v>5</v>
      </c>
      <c r="AV186">
        <f>MIN(W186/400,1)*20</f>
        <v>7.75</v>
      </c>
      <c r="AW186" s="4">
        <v>1</v>
      </c>
      <c r="AX186">
        <f>((MAX($J186,1)*MIN($AE186/300,1)))*IF(D186="Wagon",50,10)</f>
        <v>0</v>
      </c>
      <c r="AY186">
        <f>VLOOKUP($E186,Constants!$I:$K, 2, FALSE)</f>
        <v>1</v>
      </c>
      <c r="AZ186">
        <f>VLOOKUP($E186,Constants!$I:$K, 3, FALSE)*IF(AND(D186="multiple_unit",Y186&lt;110),0.75,1)</f>
        <v>1.5</v>
      </c>
      <c r="BA186">
        <f>INT(POWER(((Constants!$G$2+$AT186+$AU186+$AV186+$AX186)*$AW186)*$AZ186, 1.05))+$AS186</f>
        <v>65</v>
      </c>
      <c r="BB186">
        <f>INT(((Constants!$G$1+$AT186+$AU186+$AV186+$AX186)*(1/$AW186))*$AY186)+$AR186</f>
        <v>65</v>
      </c>
      <c r="BI186" t="s">
        <v>1218</v>
      </c>
      <c r="BL186" t="str">
        <f>VLOOKUP(G186,Eras!$A$2:$C$10, 2, TRUE)</f>
        <v>dsl</v>
      </c>
      <c r="BM186" t="s">
        <v>374</v>
      </c>
      <c r="BN186" t="str">
        <f>CONCATENATE(BL186,"_",BM186)</f>
        <v>dsl_DMU (Express)</v>
      </c>
      <c r="BO186" t="str">
        <f t="shared" si="8"/>
        <v/>
      </c>
      <c r="BP186" t="str">
        <f t="shared" si="9"/>
        <v>{BLACK}Cars: {GOLD}6{}</v>
      </c>
      <c r="BQ186" t="s">
        <v>583</v>
      </c>
      <c r="BR186" t="str">
        <f t="shared" si="10"/>
        <v/>
      </c>
      <c r="BS186" t="str">
        <f t="shared" si="11"/>
        <v>{BLACK}Cars: {GOLD}6{}{SILVER}The Blue Pullman is an express diesel multiple unit, designed to tempt motorists from their cars with a luxurious inter-city service.</v>
      </c>
    </row>
    <row r="187" spans="1:71" x14ac:dyDescent="0.25">
      <c r="A187" t="s">
        <v>147</v>
      </c>
      <c r="B187" t="s">
        <v>1204</v>
      </c>
      <c r="C187">
        <v>439</v>
      </c>
      <c r="D187" t="s">
        <v>455</v>
      </c>
      <c r="E187" t="s">
        <v>314</v>
      </c>
      <c r="F187" t="s">
        <v>316</v>
      </c>
      <c r="G187">
        <v>1960</v>
      </c>
      <c r="I187">
        <v>1973</v>
      </c>
      <c r="J187">
        <v>5</v>
      </c>
      <c r="K187">
        <v>1000</v>
      </c>
      <c r="T187">
        <f>304/6*5</f>
        <v>253.33333333333331</v>
      </c>
      <c r="W187">
        <v>155</v>
      </c>
      <c r="X187" s="4">
        <f>IF(AND(T187&gt;0,W187&gt;0),(W187/((T187+U187)*10)),"")</f>
        <v>6.1184210526315799E-2</v>
      </c>
      <c r="Y187">
        <v>90</v>
      </c>
      <c r="AA187">
        <v>20.260000000000002</v>
      </c>
      <c r="AB187">
        <v>20</v>
      </c>
      <c r="AC187">
        <v>2.9</v>
      </c>
      <c r="AD187">
        <v>3.77</v>
      </c>
      <c r="AE187" s="11">
        <v>0</v>
      </c>
      <c r="AF187" t="str">
        <f>CONCATENATE(VLOOKUP(AG187, 'Voxel Sizes'!$A$2:$B$18,2,FALSE),"x",INT(AC187*15), "x", INT(AD187*15))</f>
        <v>198x43x56</v>
      </c>
      <c r="AG187">
        <f>ROUND(15*((AB187*10)/256),0)</f>
        <v>12</v>
      </c>
      <c r="AI187" t="str">
        <f>CONCATENATE(VLOOKUP(AG187,Constants!$A$2:$C$16,IF(AH187&lt;&gt;"", 3, 2), FALSE),IF(AH187&lt;&gt;"",CONCATENATE(",",VLOOKUP(AH187,$B:$AI,34,FALSE)),""))</f>
        <v>4,4,4</v>
      </c>
      <c r="AK187" t="s">
        <v>1205</v>
      </c>
      <c r="AM187" t="s">
        <v>722</v>
      </c>
      <c r="AN187" t="s">
        <v>277</v>
      </c>
      <c r="AP187">
        <v>32</v>
      </c>
      <c r="AQ187">
        <f>IF(I187&lt;&gt;"",MAX(8,(I187-G187)-4),"")</f>
        <v>9</v>
      </c>
      <c r="AT187">
        <f>MIN(Y187/150, 1)*30</f>
        <v>18</v>
      </c>
      <c r="AU187">
        <f>MIN(K187/4000, 1)*20</f>
        <v>5</v>
      </c>
      <c r="AV187">
        <f>MIN(W187/400,1)*20</f>
        <v>7.75</v>
      </c>
      <c r="AW187" s="4">
        <v>1</v>
      </c>
      <c r="AX187">
        <f>((MAX($J187,1)*MIN($AE187/300,1)))*IF(D187="Wagon",50,10)</f>
        <v>0</v>
      </c>
      <c r="AY187">
        <f>VLOOKUP($E187,Constants!$I:$K, 2, FALSE)</f>
        <v>1</v>
      </c>
      <c r="AZ187">
        <f>VLOOKUP($E187,Constants!$I:$K, 3, FALSE)*IF(AND(D187="multiple_unit",Y187&lt;110),0.75,1)</f>
        <v>1.5</v>
      </c>
      <c r="BA187">
        <f>INT(POWER(((Constants!$G$2+$AT187+$AU187+$AV187+$AX187)*$AW187)*$AZ187, 1.05))+$AS187</f>
        <v>65</v>
      </c>
      <c r="BB187">
        <f>INT(((Constants!$G$1+$AT187+$AU187+$AV187+$AX187)*(1/$AW187))*$AY187)+$AR187</f>
        <v>65</v>
      </c>
      <c r="BI187" t="s">
        <v>1220</v>
      </c>
      <c r="BL187" t="str">
        <f>VLOOKUP(G187,Eras!$A$2:$C$10, 2, TRUE)</f>
        <v>dsl</v>
      </c>
      <c r="BM187" t="s">
        <v>374</v>
      </c>
      <c r="BN187" t="str">
        <f>CONCATENATE(BL187,"_",BM187)</f>
        <v>dsl_DMU (Express)</v>
      </c>
      <c r="BO187" t="str">
        <f t="shared" si="8"/>
        <v/>
      </c>
      <c r="BP187" t="str">
        <f t="shared" si="9"/>
        <v>{BLACK}Cars: {GOLD}5{}</v>
      </c>
      <c r="BQ187" t="s">
        <v>583</v>
      </c>
      <c r="BR187" t="str">
        <f t="shared" si="10"/>
        <v/>
      </c>
      <c r="BS187" t="str">
        <f t="shared" si="11"/>
        <v>{BLACK}Cars: {GOLD}5{}{SILVER}The Blue Pullman is an express diesel multiple unit, designed to tempt motorists from their cars with a luxurious inter-city service.</v>
      </c>
    </row>
    <row r="188" spans="1:71" x14ac:dyDescent="0.25">
      <c r="A188" t="s">
        <v>83</v>
      </c>
      <c r="B188" t="s">
        <v>257</v>
      </c>
      <c r="C188">
        <v>440</v>
      </c>
      <c r="D188" t="s">
        <v>455</v>
      </c>
      <c r="E188" t="s">
        <v>314</v>
      </c>
      <c r="F188" t="s">
        <v>316</v>
      </c>
      <c r="G188">
        <v>1960</v>
      </c>
      <c r="I188">
        <v>2017</v>
      </c>
      <c r="J188">
        <v>1</v>
      </c>
      <c r="K188">
        <v>300</v>
      </c>
      <c r="T188">
        <v>38</v>
      </c>
      <c r="W188">
        <v>65</v>
      </c>
      <c r="X188" s="4">
        <f>IF(AND(T188&gt;0,W188&gt;0),(W188/((T188+U188)*10)),"")</f>
        <v>0.17105263157894737</v>
      </c>
      <c r="Y188">
        <v>70</v>
      </c>
      <c r="Z188">
        <v>1</v>
      </c>
      <c r="AA188">
        <v>19.66</v>
      </c>
      <c r="AB188">
        <v>19.66</v>
      </c>
      <c r="AD188">
        <v>3.77</v>
      </c>
      <c r="AE188" s="11">
        <v>66</v>
      </c>
      <c r="AF188" t="str">
        <f>CONCATENATE(VLOOKUP(AG188, 'Voxel Sizes'!$A$2:$B$18,2,FALSE),"x",INT(AC188*15), "x", INT(AD188*15))</f>
        <v>198x0x56</v>
      </c>
      <c r="AG188">
        <f>ROUND(15*((AB188*10)/256),0)</f>
        <v>12</v>
      </c>
      <c r="AI188" t="str">
        <f>CONCATENATE(VLOOKUP(AG188,Constants!$A$2:$C$16,IF(AH188&lt;&gt;"", 3, 2), FALSE),IF(AH188&lt;&gt;"",CONCATENATE(",",VLOOKUP(AH188,$B:$AI,34,FALSE)),""))</f>
        <v>4,4,4</v>
      </c>
      <c r="AK188" t="s">
        <v>257</v>
      </c>
      <c r="AM188">
        <v>1</v>
      </c>
      <c r="AP188">
        <v>60</v>
      </c>
      <c r="AQ188">
        <f>IF(I188&lt;&gt;"",MAX(8,(I188-G188)-4),"")</f>
        <v>53</v>
      </c>
      <c r="AT188">
        <f>MIN(Y188/150, 1)*30</f>
        <v>14</v>
      </c>
      <c r="AU188">
        <f>MIN(K188/4000, 1)*20</f>
        <v>1.5</v>
      </c>
      <c r="AV188">
        <f>MIN(W188/400,1)*20</f>
        <v>3.25</v>
      </c>
      <c r="AW188" s="4">
        <v>1</v>
      </c>
      <c r="AX188">
        <f>((MAX($J188,1)*MIN($AE188/300,1)))*IF(D188="Wagon",50,10)</f>
        <v>2.2000000000000002</v>
      </c>
      <c r="AY188">
        <f>VLOOKUP($E188,Constants!$I:$K, 2, FALSE)</f>
        <v>1</v>
      </c>
      <c r="AZ188">
        <f>VLOOKUP($E188,Constants!$I:$K, 3, FALSE)*IF(AND(D188="multiple_unit",Y188&lt;110),0.75,1)</f>
        <v>1.5</v>
      </c>
      <c r="BA188">
        <f>INT(POWER(((Constants!$G$2+$AT188+$AU188+$AV188+$AX188)*$AW188)*$AZ188, 1.05))+$AS188</f>
        <v>46</v>
      </c>
      <c r="BB188">
        <f>INT(((Constants!$G$1+$AT188+$AU188+$AV188+$AX188)*(1/$AW188))*$AY188)+$AR188</f>
        <v>55</v>
      </c>
      <c r="BK188" t="s">
        <v>325</v>
      </c>
      <c r="BL188" t="str">
        <f>VLOOKUP(G188,Eras!$A$2:$C$10, 2, TRUE)</f>
        <v>dsl</v>
      </c>
      <c r="BM188" t="s">
        <v>373</v>
      </c>
      <c r="BN188" t="str">
        <f>CONCATENATE(BL188,"_",BM188)</f>
        <v>dsl_DMU</v>
      </c>
      <c r="BO188" t="str">
        <f t="shared" si="8"/>
        <v/>
      </c>
      <c r="BP188" t="str">
        <f t="shared" si="9"/>
        <v/>
      </c>
      <c r="BQ188" t="s">
        <v>584</v>
      </c>
      <c r="BR188" t="str">
        <f t="shared" si="10"/>
        <v/>
      </c>
      <c r="BS188" t="str">
        <f t="shared" si="11"/>
        <v>{SILVER}The "Bubble Car" units saw a long life on branch lines and rural railways. Two six-cylinder AEC or Leyland engines of 150hp each drive the wheels through a mechanical transmission.</v>
      </c>
    </row>
    <row r="189" spans="1:71" x14ac:dyDescent="0.25">
      <c r="A189" t="s">
        <v>672</v>
      </c>
      <c r="B189" t="s">
        <v>294</v>
      </c>
      <c r="C189">
        <v>442</v>
      </c>
      <c r="D189" t="s">
        <v>455</v>
      </c>
      <c r="E189" t="s">
        <v>338</v>
      </c>
      <c r="F189" t="s">
        <v>345</v>
      </c>
      <c r="G189">
        <v>1964</v>
      </c>
      <c r="H189">
        <v>1972</v>
      </c>
      <c r="I189">
        <v>2005</v>
      </c>
      <c r="J189">
        <v>4</v>
      </c>
      <c r="K189">
        <v>1000</v>
      </c>
      <c r="T189">
        <v>152</v>
      </c>
      <c r="W189">
        <v>125</v>
      </c>
      <c r="X189" s="4">
        <f>IF(AND(T189&gt;0,W189&gt;0),(W189/((T189+U189)*10)),"")</f>
        <v>8.2236842105263164E-2</v>
      </c>
      <c r="Y189">
        <v>90</v>
      </c>
      <c r="AA189">
        <f>80.98/4</f>
        <v>20.245000000000001</v>
      </c>
      <c r="AB189">
        <v>20.239999999999998</v>
      </c>
      <c r="AC189">
        <v>2.82</v>
      </c>
      <c r="AD189">
        <v>3.89</v>
      </c>
      <c r="AE189" s="11">
        <v>54</v>
      </c>
      <c r="AF189" t="str">
        <f>CONCATENATE(VLOOKUP(AG189, 'Voxel Sizes'!$A$2:$B$18,2,FALSE),"x",INT(AC189*15), "x", INT(AD189*15))</f>
        <v>198x42x58</v>
      </c>
      <c r="AG189">
        <f>ROUND(15*((AB189*10)/256),0)</f>
        <v>12</v>
      </c>
      <c r="AI189" t="str">
        <f>CONCATENATE(VLOOKUP(AG189,Constants!$A$2:$C$16,IF(AH189&lt;&gt;"", 3, 2), FALSE),IF(AH189&lt;&gt;"",CONCATENATE(",",VLOOKUP(AH189,$B:$AI,34,FALSE)),""))</f>
        <v>4,4,4</v>
      </c>
      <c r="AK189" t="s">
        <v>682</v>
      </c>
      <c r="AM189" t="s">
        <v>680</v>
      </c>
      <c r="AP189">
        <v>50</v>
      </c>
      <c r="AQ189">
        <f>IF(I189&lt;&gt;"",MAX(8,(I189-G189)-4),"")</f>
        <v>37</v>
      </c>
      <c r="AT189">
        <f>MIN(Y189/150, 1)*30</f>
        <v>18</v>
      </c>
      <c r="AU189">
        <f>MIN(K189/4000, 1)*20</f>
        <v>5</v>
      </c>
      <c r="AV189">
        <f>MIN(W189/400,1)*20</f>
        <v>6.25</v>
      </c>
      <c r="AW189" s="4">
        <v>1</v>
      </c>
      <c r="AX189">
        <f>((MAX($J189,1)*MIN($AE189/300,1)))*IF(D189="Wagon",50,10)</f>
        <v>7.1999999999999993</v>
      </c>
      <c r="AY189">
        <f>VLOOKUP($E189,Constants!$I:$K, 2, FALSE)</f>
        <v>0.85</v>
      </c>
      <c r="AZ189">
        <f>VLOOKUP($E189,Constants!$I:$K, 3, FALSE)*IF(AND(D189="multiple_unit",Y189&lt;110),0.75,1)</f>
        <v>1.7249999999999999</v>
      </c>
      <c r="BA189">
        <f>INT(POWER(((Constants!$G$2+$AT189+$AU189+$AV189+$AX189)*$AW189)*$AZ189, 1.05))+$AS189</f>
        <v>88</v>
      </c>
      <c r="BB189">
        <f>INT(((Constants!$G$1+$AT189+$AU189+$AV189+$AX189)*(1/$AW189))*$AY189)+$AR189</f>
        <v>60</v>
      </c>
      <c r="BG189" t="s">
        <v>673</v>
      </c>
      <c r="BK189" t="s">
        <v>325</v>
      </c>
      <c r="BL189" t="str">
        <f>VLOOKUP(G189,Eras!$A$2:$C$10, 2, TRUE)</f>
        <v>dsl</v>
      </c>
      <c r="BM189" t="s">
        <v>376</v>
      </c>
      <c r="BN189" t="str">
        <f>CONCATENATE(BL189,"_",BM189)</f>
        <v>dsl_EMU (Express)</v>
      </c>
      <c r="BO189" t="str">
        <f t="shared" si="8"/>
        <v/>
      </c>
      <c r="BP189" t="str">
        <f t="shared" si="9"/>
        <v>{BLACK}Cars: {GOLD}4{}</v>
      </c>
      <c r="BQ189" t="s">
        <v>679</v>
      </c>
      <c r="BR189" t="str">
        <f t="shared" si="10"/>
        <v/>
      </c>
      <c r="BS189" t="str">
        <f t="shared" si="11"/>
        <v>{BLACK}Cars: {GOLD}4{}{SILVER}The Class 421 4 CIG (Corridor, brIGhton) was a third rail EMU with express gearing, used in the Southern Region. It was based on the Mk1 carriage design.</v>
      </c>
    </row>
    <row r="190" spans="1:71" x14ac:dyDescent="0.25">
      <c r="A190" t="s">
        <v>98</v>
      </c>
      <c r="B190" t="s">
        <v>676</v>
      </c>
      <c r="C190">
        <v>444</v>
      </c>
      <c r="D190" t="s">
        <v>455</v>
      </c>
      <c r="E190" t="s">
        <v>338</v>
      </c>
      <c r="F190" t="s">
        <v>339</v>
      </c>
      <c r="G190">
        <v>1965</v>
      </c>
      <c r="I190">
        <v>2002</v>
      </c>
      <c r="J190">
        <v>4</v>
      </c>
      <c r="K190">
        <v>1080</v>
      </c>
      <c r="T190">
        <v>158</v>
      </c>
      <c r="W190">
        <v>130</v>
      </c>
      <c r="X190" s="4">
        <f>IF(AND(T190&gt;0,W190&gt;0),(W190/((T190+U190)*10)),"")</f>
        <v>8.2278481012658222E-2</v>
      </c>
      <c r="Y190">
        <v>75</v>
      </c>
      <c r="AA190">
        <v>19.850000000000001</v>
      </c>
      <c r="AB190">
        <v>19.850000000000001</v>
      </c>
      <c r="AC190">
        <v>2.82</v>
      </c>
      <c r="AD190">
        <v>3.97</v>
      </c>
      <c r="AE190" s="11">
        <v>57</v>
      </c>
      <c r="AF190" t="str">
        <f>CONCATENATE(VLOOKUP(AG190, 'Voxel Sizes'!$A$2:$B$18,2,FALSE),"x",INT(AC190*15), "x", INT(AD190*15))</f>
        <v>198x42x59</v>
      </c>
      <c r="AG190">
        <f>ROUND(15*((AB190*10)/256),0)</f>
        <v>12</v>
      </c>
      <c r="AI190" t="str">
        <f>CONCATENATE(VLOOKUP(AG190,Constants!$A$2:$C$16,IF(AH190&lt;&gt;"", 3, 2), FALSE),IF(AH190&lt;&gt;"",CONCATENATE(",",VLOOKUP(AH190,$B:$AI,34,FALSE)),""))</f>
        <v>4,4,4</v>
      </c>
      <c r="AK190" t="s">
        <v>677</v>
      </c>
      <c r="AM190" t="s">
        <v>610</v>
      </c>
      <c r="AP190">
        <v>42</v>
      </c>
      <c r="AQ190">
        <f>IF(I190&lt;&gt;"",MAX(8,(I190-G190)-4),"")</f>
        <v>33</v>
      </c>
      <c r="AT190">
        <f>MIN(Y190/150, 1)*30</f>
        <v>15</v>
      </c>
      <c r="AU190">
        <f>MIN(K190/4000, 1)*20</f>
        <v>5.4</v>
      </c>
      <c r="AV190">
        <f>MIN(W190/400,1)*20</f>
        <v>6.5</v>
      </c>
      <c r="AW190" s="4">
        <v>1</v>
      </c>
      <c r="AX190">
        <f>((MAX($J190,1)*MIN($AE190/300,1)))*IF(D190="Wagon",50,10)</f>
        <v>7.6</v>
      </c>
      <c r="AY190">
        <f>VLOOKUP($E190,Constants!$I:$K, 2, FALSE)</f>
        <v>0.85</v>
      </c>
      <c r="AZ190">
        <f>VLOOKUP($E190,Constants!$I:$K, 3, FALSE)*IF(AND(D190="multiple_unit",Y190&lt;110),0.75,1)</f>
        <v>1.7249999999999999</v>
      </c>
      <c r="BA190">
        <f>INT(POWER(((Constants!$G$2+$AT190+$AU190+$AV190+$AX190)*$AW190)*$AZ190, 1.05))+$AS190</f>
        <v>84</v>
      </c>
      <c r="BB190">
        <f>INT(((Constants!$G$1+$AT190+$AU190+$AV190+$AX190)*(1/$AW190))*$AY190)+$AR190</f>
        <v>59</v>
      </c>
      <c r="BK190" t="s">
        <v>325</v>
      </c>
      <c r="BL190" t="str">
        <f>VLOOKUP(G190,Eras!$A$2:$C$10, 2, TRUE)</f>
        <v>dsl</v>
      </c>
      <c r="BM190" t="s">
        <v>374</v>
      </c>
      <c r="BN190" t="str">
        <f>CONCATENATE(BL190,"_",BM190)</f>
        <v>dsl_DMU (Express)</v>
      </c>
      <c r="BO190" t="str">
        <f t="shared" si="8"/>
        <v/>
      </c>
      <c r="BP190" t="str">
        <f t="shared" si="9"/>
        <v>{BLACK}Cars: {GOLD}4{}</v>
      </c>
      <c r="BQ190" t="s">
        <v>678</v>
      </c>
      <c r="BR190" t="str">
        <f t="shared" si="10"/>
        <v/>
      </c>
      <c r="BS190" t="str">
        <f t="shared" si="11"/>
        <v>{BLACK}Cars: {GOLD}4{}{SILVER}The AM10 was the first EMU to be based on the Mk2 carriage bodyshell. They were introduced as part of the West Coast Main Line electrification.</v>
      </c>
    </row>
    <row r="191" spans="1:71" x14ac:dyDescent="0.25">
      <c r="A191" t="s">
        <v>90</v>
      </c>
      <c r="B191" t="s">
        <v>217</v>
      </c>
      <c r="C191">
        <v>446</v>
      </c>
      <c r="D191" t="s">
        <v>455</v>
      </c>
      <c r="E191" t="s">
        <v>607</v>
      </c>
      <c r="F191" t="s">
        <v>606</v>
      </c>
      <c r="G191">
        <v>1976</v>
      </c>
      <c r="H191">
        <v>1977</v>
      </c>
      <c r="J191">
        <v>3</v>
      </c>
      <c r="K191">
        <v>880</v>
      </c>
      <c r="T191">
        <v>104.5</v>
      </c>
      <c r="W191">
        <v>140</v>
      </c>
      <c r="X191" s="4">
        <f>IF(AND(T191&gt;0,W191&gt;0),(W191/((T191+U191)*10)),"")</f>
        <v>0.13397129186602871</v>
      </c>
      <c r="Y191">
        <v>75</v>
      </c>
      <c r="AA191">
        <v>20.329999999999998</v>
      </c>
      <c r="AB191">
        <v>20.329999999999998</v>
      </c>
      <c r="AD191">
        <v>3.58</v>
      </c>
      <c r="AE191" s="11">
        <v>75</v>
      </c>
      <c r="AF191" t="str">
        <f>CONCATENATE(VLOOKUP(AG191, 'Voxel Sizes'!$A$2:$B$18,2,FALSE),"x",INT(AC191*15), "x", INT(AD191*15))</f>
        <v>198x0x53</v>
      </c>
      <c r="AG191">
        <f>ROUND(15*((AB191*10)/256),0)</f>
        <v>12</v>
      </c>
      <c r="AI191" t="str">
        <f>CONCATENATE(VLOOKUP(AG191,Constants!$A$2:$C$16,IF(AH191&lt;&gt;"", 3, 2), FALSE),IF(AH191&lt;&gt;"",CONCATENATE(",",VLOOKUP(AH191,$B:$AI,34,FALSE)),""))</f>
        <v>4,4,4</v>
      </c>
      <c r="AK191" t="s">
        <v>604</v>
      </c>
      <c r="AL191" t="s">
        <v>609</v>
      </c>
      <c r="AM191" t="s">
        <v>334</v>
      </c>
      <c r="AP191">
        <v>45</v>
      </c>
      <c r="AQ191" t="str">
        <f>IF(I191&lt;&gt;"",MAX(8,(I191-G191)-4),"")</f>
        <v/>
      </c>
      <c r="AT191">
        <f>MIN(Y191/150, 1)*30</f>
        <v>15</v>
      </c>
      <c r="AU191">
        <f>MIN(K191/4000, 1)*20</f>
        <v>4.4000000000000004</v>
      </c>
      <c r="AV191">
        <f>MIN(W191/400,1)*20</f>
        <v>7</v>
      </c>
      <c r="AW191" s="4">
        <v>1</v>
      </c>
      <c r="AX191">
        <f>((MAX($J191,1)*MIN($AE191/300,1)))*IF(D191="Wagon",50,10)</f>
        <v>7.5</v>
      </c>
      <c r="AY191">
        <f>VLOOKUP($E191,Constants!$I:$K, 2, FALSE)</f>
        <v>0.85</v>
      </c>
      <c r="AZ191">
        <f>VLOOKUP($E191,Constants!$I:$K, 3, FALSE)*IF(AND(D191="multiple_unit",Y191&lt;110),0.75,1)</f>
        <v>1.7999999999999998</v>
      </c>
      <c r="BA191">
        <f>INT(POWER(((Constants!$G$2+$AT191+$AU191+$AV191+$AX191)*$AW191)*$AZ191, 1.05))+$AS191</f>
        <v>86</v>
      </c>
      <c r="BB191">
        <f>INT(((Constants!$G$1+$AT191+$AU191+$AV191+$AX191)*(1/$AW191))*$AY191)+$AR191</f>
        <v>58</v>
      </c>
      <c r="BK191" t="s">
        <v>325</v>
      </c>
      <c r="BL191" t="str">
        <f>VLOOKUP(G191,Eras!$A$2:$C$10, 2, TRUE)</f>
        <v>lbr</v>
      </c>
      <c r="BM191" t="s">
        <v>375</v>
      </c>
      <c r="BN191" t="str">
        <f>CONCATENATE(BL191,"_",BM191)</f>
        <v>lbr_EMU</v>
      </c>
      <c r="BO191" t="str">
        <f t="shared" si="8"/>
        <v/>
      </c>
      <c r="BP191" t="str">
        <f t="shared" si="9"/>
        <v>{BLACK}Cars: {GOLD}3{}</v>
      </c>
      <c r="BQ191" t="s">
        <v>605</v>
      </c>
      <c r="BR191" t="str">
        <f t="shared" si="10"/>
        <v/>
      </c>
      <c r="BS191" t="str">
        <f t="shared" si="11"/>
        <v>{BLACK}Cars: {GOLD}3{}{SILVER}The Class 313 is a dual voltage EMU capable of running both on overhead electrified lines and third rail systems.</v>
      </c>
    </row>
    <row r="192" spans="1:71" x14ac:dyDescent="0.25">
      <c r="A192" t="s">
        <v>727</v>
      </c>
      <c r="B192" t="s">
        <v>728</v>
      </c>
      <c r="C192">
        <v>448</v>
      </c>
      <c r="D192" t="s">
        <v>455</v>
      </c>
      <c r="E192" t="s">
        <v>338</v>
      </c>
      <c r="F192" t="s">
        <v>339</v>
      </c>
      <c r="G192">
        <v>1979</v>
      </c>
      <c r="H192">
        <v>1986</v>
      </c>
      <c r="I192">
        <v>1988</v>
      </c>
      <c r="J192">
        <v>14</v>
      </c>
      <c r="K192">
        <v>8000</v>
      </c>
      <c r="T192">
        <v>434</v>
      </c>
      <c r="W192">
        <v>210</v>
      </c>
      <c r="X192" s="4">
        <f>IF(AND(T192&gt;0,W192&gt;0),(W192/((T192+U192)*10)),"")</f>
        <v>4.8387096774193547E-2</v>
      </c>
      <c r="Y192">
        <v>155</v>
      </c>
      <c r="AA192">
        <v>20.9</v>
      </c>
      <c r="AB192">
        <v>20.9</v>
      </c>
      <c r="AC192">
        <v>2.7</v>
      </c>
      <c r="AD192">
        <v>3.5</v>
      </c>
      <c r="AE192" s="11">
        <v>39</v>
      </c>
      <c r="AF192" t="str">
        <f>CONCATENATE(VLOOKUP(AG192, 'Voxel Sizes'!$A$2:$B$18,2,FALSE),"x",INT(AC192*15), "x", INT(AD192*15))</f>
        <v>198x40x52</v>
      </c>
      <c r="AG192">
        <f>ROUND(15*((AB192*10)/256),0)</f>
        <v>12</v>
      </c>
      <c r="AI192" t="str">
        <f>CONCATENATE(VLOOKUP(AG192,Constants!$A$2:$C$16,IF(AH192&lt;&gt;"", 3, 2), FALSE),IF(AH192&lt;&gt;"",CONCATENATE(",",VLOOKUP(AH192,$B:$AI,34,FALSE)),""))</f>
        <v>4,4,4</v>
      </c>
      <c r="AK192" t="s">
        <v>730</v>
      </c>
      <c r="AM192" t="s">
        <v>737</v>
      </c>
      <c r="AP192">
        <v>22</v>
      </c>
      <c r="AQ192">
        <f>IF(I192&lt;&gt;"",MAX(8,(I192-G192)-4),"")</f>
        <v>8</v>
      </c>
      <c r="AT192">
        <f>MIN(Y192/150, 1)*30</f>
        <v>30</v>
      </c>
      <c r="AU192">
        <f>MIN(K192/4000, 1)*20</f>
        <v>20</v>
      </c>
      <c r="AV192">
        <f>MIN(W192/400,1)*20</f>
        <v>10.5</v>
      </c>
      <c r="AW192" s="4">
        <v>1</v>
      </c>
      <c r="AX192">
        <f>((MAX($J192,1)*MIN($AE192/300,1)))*IF(D192="Wagon",50,10)</f>
        <v>18.2</v>
      </c>
      <c r="AY192">
        <f>VLOOKUP($E192,Constants!$I:$K, 2, FALSE)</f>
        <v>0.85</v>
      </c>
      <c r="AZ192">
        <f>VLOOKUP($E192,Constants!$I:$K, 3, FALSE)*IF(AND(D192="multiple_unit",Y192&lt;110),0.75,1)</f>
        <v>2.2999999999999998</v>
      </c>
      <c r="BA192">
        <f>INT(POWER(((Constants!$G$2+$AT192+$AU192+$AV192+$AX192)*$AW192)*$AZ192, 1.05))+$AS192</f>
        <v>250</v>
      </c>
      <c r="BB192">
        <f>INT(((Constants!$G$1+$AT192+$AU192+$AV192+$AX192)*(1/$AW192))*$AY192)+$AR192</f>
        <v>96</v>
      </c>
      <c r="BI192" t="s">
        <v>1222</v>
      </c>
      <c r="BK192" t="s">
        <v>325</v>
      </c>
      <c r="BL192" t="str">
        <f>VLOOKUP(G192,Eras!$A$2:$C$10, 2, TRUE)</f>
        <v>lbr</v>
      </c>
      <c r="BM192" t="s">
        <v>376</v>
      </c>
      <c r="BN192" t="str">
        <f>CONCATENATE(BL192,"_",BM192)</f>
        <v>lbr_EMU (Express)</v>
      </c>
      <c r="BO192" t="str">
        <f t="shared" si="8"/>
        <v/>
      </c>
      <c r="BP192" t="str">
        <f t="shared" si="9"/>
        <v>{BLACK}Cars: {GOLD}14{}</v>
      </c>
      <c r="BQ192" t="s">
        <v>729</v>
      </c>
      <c r="BR192" t="str">
        <f t="shared" si="10"/>
        <v/>
      </c>
      <c r="BS192" t="str">
        <f t="shared" si="11"/>
        <v>{BLACK}Cars: {GOLD}14{}{SILVER}The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3" spans="1:71" x14ac:dyDescent="0.25">
      <c r="A193" t="s">
        <v>727</v>
      </c>
      <c r="B193" t="s">
        <v>1198</v>
      </c>
      <c r="C193">
        <v>449</v>
      </c>
      <c r="D193" t="s">
        <v>455</v>
      </c>
      <c r="E193" t="s">
        <v>338</v>
      </c>
      <c r="F193" t="s">
        <v>339</v>
      </c>
      <c r="G193">
        <v>1979</v>
      </c>
      <c r="H193">
        <v>1986</v>
      </c>
      <c r="I193">
        <v>1988</v>
      </c>
      <c r="J193">
        <v>8</v>
      </c>
      <c r="K193">
        <v>8000</v>
      </c>
      <c r="T193">
        <f>(434/14)*8</f>
        <v>248</v>
      </c>
      <c r="W193">
        <v>210</v>
      </c>
      <c r="X193" s="4">
        <f>IF(AND(T193&gt;0,W193&gt;0),(W193/((T193+U193)*10)),"")</f>
        <v>8.4677419354838704E-2</v>
      </c>
      <c r="Y193">
        <v>155</v>
      </c>
      <c r="AA193">
        <v>20.9</v>
      </c>
      <c r="AB193">
        <v>20.9</v>
      </c>
      <c r="AC193">
        <v>2.7</v>
      </c>
      <c r="AD193">
        <v>3.5</v>
      </c>
      <c r="AE193" s="11">
        <v>39</v>
      </c>
      <c r="AF193" t="str">
        <f>CONCATENATE(VLOOKUP(AG193, 'Voxel Sizes'!$A$2:$B$18,2,FALSE),"x",INT(AC193*15), "x", INT(AD193*15))</f>
        <v>198x40x52</v>
      </c>
      <c r="AG193">
        <f>ROUND(15*((AB193*10)/256),0)</f>
        <v>12</v>
      </c>
      <c r="AI193" t="str">
        <f>CONCATENATE(VLOOKUP(AG193,Constants!$A$2:$C$16,IF(AH193&lt;&gt;"", 3, 2), FALSE),IF(AH193&lt;&gt;"",CONCATENATE(",",VLOOKUP(AH193,$B:$AI,34,FALSE)),""))</f>
        <v>4,4,4</v>
      </c>
      <c r="AK193" t="s">
        <v>1213</v>
      </c>
      <c r="AM193" t="s">
        <v>759</v>
      </c>
      <c r="AN193" t="s">
        <v>728</v>
      </c>
      <c r="AP193">
        <v>22</v>
      </c>
      <c r="AQ193">
        <f>IF(I193&lt;&gt;"",MAX(8,(I193-G193)-4),"")</f>
        <v>8</v>
      </c>
      <c r="AT193">
        <f>MIN(Y193/150, 1)*30</f>
        <v>30</v>
      </c>
      <c r="AU193">
        <f>MIN(K193/4000, 1)*20</f>
        <v>20</v>
      </c>
      <c r="AV193">
        <f>MIN(W193/400,1)*20</f>
        <v>10.5</v>
      </c>
      <c r="AW193" s="4">
        <v>1</v>
      </c>
      <c r="AX193">
        <f>((MAX($J193,1)*MIN($AE193/300,1)))*IF(D193="Wagon",50,10)</f>
        <v>10.4</v>
      </c>
      <c r="AY193">
        <f>VLOOKUP($E193,Constants!$I:$K, 2, FALSE)</f>
        <v>0.85</v>
      </c>
      <c r="AZ193">
        <f>VLOOKUP($E193,Constants!$I:$K, 3, FALSE)*IF(AND(D193="multiple_unit",Y193&lt;110),0.75,1)</f>
        <v>2.2999999999999998</v>
      </c>
      <c r="BA193">
        <f>INT(POWER(((Constants!$G$2+$AT193+$AU193+$AV193+$AX193)*$AW193)*$AZ193, 1.05))+$AS193</f>
        <v>225</v>
      </c>
      <c r="BB193">
        <f>INT(((Constants!$G$1+$AT193+$AU193+$AV193+$AX193)*(1/$AW193))*$AY193)+$AR193</f>
        <v>90</v>
      </c>
      <c r="BI193" t="s">
        <v>1221</v>
      </c>
      <c r="BK193" t="s">
        <v>325</v>
      </c>
      <c r="BL193" t="str">
        <f>VLOOKUP(G193,Eras!$A$2:$C$10, 2, TRUE)</f>
        <v>lbr</v>
      </c>
      <c r="BM193" t="s">
        <v>376</v>
      </c>
      <c r="BN193" t="str">
        <f>CONCATENATE(BL193,"_",BM193)</f>
        <v>lbr_EMU (Express)</v>
      </c>
      <c r="BO193" t="str">
        <f t="shared" si="8"/>
        <v/>
      </c>
      <c r="BP193" t="str">
        <f t="shared" si="9"/>
        <v>{BLACK}Cars: {GOLD}8{}</v>
      </c>
      <c r="BQ193" t="s">
        <v>729</v>
      </c>
      <c r="BR193" t="str">
        <f t="shared" si="10"/>
        <v/>
      </c>
      <c r="BS193" t="str">
        <f t="shared" si="11"/>
        <v>{BLACK}Cars: {GOLD}8{}{SILVER}The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4" spans="1:71" x14ac:dyDescent="0.25">
      <c r="A194" t="s">
        <v>727</v>
      </c>
      <c r="B194" t="s">
        <v>1214</v>
      </c>
      <c r="C194">
        <v>450</v>
      </c>
      <c r="D194" t="s">
        <v>455</v>
      </c>
      <c r="E194" t="s">
        <v>338</v>
      </c>
      <c r="F194" t="s">
        <v>339</v>
      </c>
      <c r="G194">
        <v>1979</v>
      </c>
      <c r="H194">
        <v>1986</v>
      </c>
      <c r="I194">
        <v>1988</v>
      </c>
      <c r="J194">
        <v>5</v>
      </c>
      <c r="K194">
        <v>8000</v>
      </c>
      <c r="T194">
        <f>(434/14)*5</f>
        <v>155</v>
      </c>
      <c r="W194">
        <v>210</v>
      </c>
      <c r="X194" s="4">
        <f>IF(AND(T194&gt;0,W194&gt;0),(W194/((T194+U194)*10)),"")</f>
        <v>0.13548387096774195</v>
      </c>
      <c r="Y194">
        <v>155</v>
      </c>
      <c r="AA194">
        <v>20.9</v>
      </c>
      <c r="AB194">
        <v>20.9</v>
      </c>
      <c r="AC194">
        <v>2.7</v>
      </c>
      <c r="AD194">
        <v>3.5</v>
      </c>
      <c r="AE194" s="11">
        <v>39</v>
      </c>
      <c r="AF194" t="str">
        <f>CONCATENATE(VLOOKUP(AG194, 'Voxel Sizes'!$A$2:$B$18,2,FALSE),"x",INT(AC194*15), "x", INT(AD194*15))</f>
        <v>198x40x52</v>
      </c>
      <c r="AG194">
        <f>ROUND(15*((AB194*10)/256),0)</f>
        <v>12</v>
      </c>
      <c r="AI194" t="str">
        <f>CONCATENATE(VLOOKUP(AG194,Constants!$A$2:$C$16,IF(AH194&lt;&gt;"", 3, 2), FALSE),IF(AH194&lt;&gt;"",CONCATENATE(",",VLOOKUP(AH194,$B:$AI,34,FALSE)),""))</f>
        <v>4,4,4</v>
      </c>
      <c r="AK194" t="s">
        <v>1219</v>
      </c>
      <c r="AM194" t="s">
        <v>722</v>
      </c>
      <c r="AN194" t="s">
        <v>728</v>
      </c>
      <c r="AP194">
        <v>22</v>
      </c>
      <c r="AQ194">
        <f>IF(I194&lt;&gt;"",MAX(8,(I194-G194)-4),"")</f>
        <v>8</v>
      </c>
      <c r="AT194">
        <f>MIN(Y194/150, 1)*30</f>
        <v>30</v>
      </c>
      <c r="AU194">
        <f>MIN(K194/4000, 1)*20</f>
        <v>20</v>
      </c>
      <c r="AV194">
        <f>MIN(W194/400,1)*20</f>
        <v>10.5</v>
      </c>
      <c r="AW194" s="4">
        <v>1</v>
      </c>
      <c r="AX194">
        <f>((MAX($J194,1)*MIN($AE194/300,1)))*IF(D194="Wagon",50,10)</f>
        <v>6.5</v>
      </c>
      <c r="AY194">
        <f>VLOOKUP($E194,Constants!$I:$K, 2, FALSE)</f>
        <v>0.85</v>
      </c>
      <c r="AZ194">
        <f>VLOOKUP($E194,Constants!$I:$K, 3, FALSE)*IF(AND(D194="multiple_unit",Y194&lt;110),0.75,1)</f>
        <v>2.2999999999999998</v>
      </c>
      <c r="BA194">
        <f>INT(POWER(((Constants!$G$2+$AT194+$AU194+$AV194+$AX194)*$AW194)*$AZ194, 1.05))+$AS194</f>
        <v>213</v>
      </c>
      <c r="BB194">
        <f>INT(((Constants!$G$1+$AT194+$AU194+$AV194+$AX194)*(1/$AW194))*$AY194)+$AR194</f>
        <v>86</v>
      </c>
      <c r="BI194" t="s">
        <v>1220</v>
      </c>
      <c r="BK194" t="s">
        <v>325</v>
      </c>
      <c r="BL194" t="str">
        <f>VLOOKUP(G194,Eras!$A$2:$C$10, 2, TRUE)</f>
        <v>lbr</v>
      </c>
      <c r="BM194" t="s">
        <v>376</v>
      </c>
      <c r="BN194" t="str">
        <f>CONCATENATE(BL194,"_",BM194)</f>
        <v>lbr_EMU (Express)</v>
      </c>
      <c r="BO194" t="str">
        <f t="shared" si="8"/>
        <v/>
      </c>
      <c r="BP194" t="str">
        <f t="shared" si="9"/>
        <v>{BLACK}Cars: {GOLD}5{}</v>
      </c>
      <c r="BQ194" t="s">
        <v>729</v>
      </c>
      <c r="BR194" t="str">
        <f t="shared" si="10"/>
        <v/>
      </c>
      <c r="BS194" t="str">
        <f t="shared" si="11"/>
        <v>{BLACK}Cars: {GOLD}5{}{SILVER}The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195" spans="1:71" x14ac:dyDescent="0.25">
      <c r="A195" t="s">
        <v>89</v>
      </c>
      <c r="B195" t="s">
        <v>216</v>
      </c>
      <c r="C195">
        <v>452</v>
      </c>
      <c r="D195" t="s">
        <v>455</v>
      </c>
      <c r="E195" t="s">
        <v>338</v>
      </c>
      <c r="F195" t="s">
        <v>339</v>
      </c>
      <c r="G195">
        <v>1980</v>
      </c>
      <c r="H195">
        <v>1981</v>
      </c>
      <c r="J195">
        <v>4</v>
      </c>
      <c r="K195">
        <v>880</v>
      </c>
      <c r="T195">
        <v>127.5</v>
      </c>
      <c r="W195">
        <v>140</v>
      </c>
      <c r="X195" s="4">
        <f>IF(AND(T195&gt;0,W195&gt;0),(W195/((T195+U195)*10)),"")</f>
        <v>0.10980392156862745</v>
      </c>
      <c r="Y195">
        <v>75</v>
      </c>
      <c r="AA195">
        <v>19.8</v>
      </c>
      <c r="AB195">
        <v>19.8</v>
      </c>
      <c r="AD195">
        <v>3.58</v>
      </c>
      <c r="AE195" s="11">
        <v>78</v>
      </c>
      <c r="AF195" t="str">
        <f>CONCATENATE(VLOOKUP(AG195, 'Voxel Sizes'!$A$2:$B$18,2,FALSE),"x",INT(AC195*15), "x", INT(AD195*15))</f>
        <v>198x0x53</v>
      </c>
      <c r="AG195">
        <f>ROUND(15*((AB195*10)/256),0)</f>
        <v>12</v>
      </c>
      <c r="AI195" t="str">
        <f>CONCATENATE(VLOOKUP(AG195,Constants!$A$2:$C$16,IF(AH195&lt;&gt;"", 3, 2), FALSE),IF(AH195&lt;&gt;"",CONCATENATE(",",VLOOKUP(AH195,$B:$AI,34,FALSE)),""))</f>
        <v>4,4,4</v>
      </c>
      <c r="AK195" t="s">
        <v>612</v>
      </c>
      <c r="AM195" t="s">
        <v>610</v>
      </c>
      <c r="AP195">
        <v>45</v>
      </c>
      <c r="AQ195" t="str">
        <f>IF(I195&lt;&gt;"",MAX(8,(I195-G195)-4),"")</f>
        <v/>
      </c>
      <c r="AT195">
        <f>MIN(Y195/150, 1)*30</f>
        <v>15</v>
      </c>
      <c r="AU195">
        <f>MIN(K195/4000, 1)*20</f>
        <v>4.4000000000000004</v>
      </c>
      <c r="AV195">
        <f>MIN(W195/400,1)*20</f>
        <v>7</v>
      </c>
      <c r="AW195" s="4">
        <v>1</v>
      </c>
      <c r="AX195">
        <f>((MAX($J195,1)*MIN($AE195/300,1)))*IF(D195="Wagon",50,10)</f>
        <v>10.4</v>
      </c>
      <c r="AY195">
        <f>VLOOKUP($E195,Constants!$I:$K, 2, FALSE)</f>
        <v>0.85</v>
      </c>
      <c r="AZ195">
        <f>VLOOKUP($E195,Constants!$I:$K, 3, FALSE)*IF(AND(D195="multiple_unit",Y195&lt;110),0.75,1)</f>
        <v>1.7249999999999999</v>
      </c>
      <c r="BA195">
        <f>INT(POWER(((Constants!$G$2+$AT195+$AU195+$AV195+$AX195)*$AW195)*$AZ195, 1.05))+$AS195</f>
        <v>89</v>
      </c>
      <c r="BB195">
        <f>INT(((Constants!$G$1+$AT195+$AU195+$AV195+$AX195)*(1/$AW195))*$AY195)+$AR195</f>
        <v>61</v>
      </c>
      <c r="BK195" t="s">
        <v>325</v>
      </c>
      <c r="BL195" t="str">
        <f>VLOOKUP(G195,Eras!$A$2:$C$10, 2, TRUE)</f>
        <v>lbr</v>
      </c>
      <c r="BM195" t="s">
        <v>375</v>
      </c>
      <c r="BN195" t="str">
        <f>CONCATENATE(BL195,"_",BM195)</f>
        <v>lbr_EMU</v>
      </c>
      <c r="BO195" t="str">
        <f t="shared" ref="BO195:BO258" si="12">IF(AND(BD195&lt;&gt;Y195,BD195&lt;&gt;""),_xlfn.CONCAT("{BLACK}","Tare speed: ","{GOLD}{VELOCITY}{}"), "")</f>
        <v/>
      </c>
      <c r="BP195" t="str">
        <f t="shared" ref="BP195:BP258" si="13">IF(J195&gt;1,_xlfn.CONCAT("{BLACK}Cars: {GOLD}", J195, "{}"),"")</f>
        <v>{BLACK}Cars: {GOLD}4{}</v>
      </c>
      <c r="BQ195" t="s">
        <v>611</v>
      </c>
      <c r="BR195" t="str">
        <f t="shared" ref="BR195:BR258" si="14">IF(BK195="BRAKE","{GOLD}Speed bonus for some loaded wagons{}","")</f>
        <v/>
      </c>
      <c r="BS195" t="str">
        <f t="shared" ref="BS195:BS258" si="15">_xlfn.CONCAT(BO195,BP195,BR195,"{SILVER}", BQ195)</f>
        <v>{BLACK}Cars: {GOLD}4{}{SILVER}The Class 315 is the last class of the 1972 standard EMU design, running on 25kV overhead AC power and used for inner suburban services.</v>
      </c>
    </row>
    <row r="196" spans="1:71" x14ac:dyDescent="0.25">
      <c r="A196" t="s">
        <v>95</v>
      </c>
      <c r="B196" t="s">
        <v>218</v>
      </c>
      <c r="C196">
        <v>454</v>
      </c>
      <c r="D196" t="s">
        <v>455</v>
      </c>
      <c r="E196" t="s">
        <v>338</v>
      </c>
      <c r="F196" t="s">
        <v>345</v>
      </c>
      <c r="G196">
        <v>1982</v>
      </c>
      <c r="J196">
        <v>4</v>
      </c>
      <c r="K196">
        <v>992</v>
      </c>
      <c r="T196">
        <v>136</v>
      </c>
      <c r="W196">
        <v>150</v>
      </c>
      <c r="X196" s="4">
        <f>IF(AND(T196&gt;0,W196&gt;0),(W196/((T196+U196)*10)),"")</f>
        <v>0.11029411764705882</v>
      </c>
      <c r="Y196">
        <v>75</v>
      </c>
      <c r="AA196">
        <v>19.8</v>
      </c>
      <c r="AB196">
        <v>19.8</v>
      </c>
      <c r="AE196" s="11">
        <v>78</v>
      </c>
      <c r="AF196" t="str">
        <f>CONCATENATE(VLOOKUP(AG196, 'Voxel Sizes'!$A$2:$B$18,2,FALSE),"x",INT(AC196*15), "x", INT(AD196*15))</f>
        <v>198x0x0</v>
      </c>
      <c r="AG196">
        <f>ROUND(15*((AB196*10)/256),0)</f>
        <v>12</v>
      </c>
      <c r="AI196" t="str">
        <f>CONCATENATE(VLOOKUP(AG196,Constants!$A$2:$C$16,IF(AH196&lt;&gt;"", 3, 2), FALSE),IF(AH196&lt;&gt;"",CONCATENATE(",",VLOOKUP(AH196,$B:$AI,34,FALSE)),""))</f>
        <v>4,4,4</v>
      </c>
      <c r="AK196" t="s">
        <v>663</v>
      </c>
      <c r="AM196" t="s">
        <v>517</v>
      </c>
      <c r="AP196">
        <v>45</v>
      </c>
      <c r="AQ196" t="str">
        <f>IF(I196&lt;&gt;"",MAX(8,(I196-G196)-4),"")</f>
        <v/>
      </c>
      <c r="AT196">
        <f>MIN(Y196/150, 1)*30</f>
        <v>15</v>
      </c>
      <c r="AU196">
        <f>MIN(K196/4000, 1)*20</f>
        <v>4.96</v>
      </c>
      <c r="AV196">
        <f>MIN(W196/400,1)*20</f>
        <v>7.5</v>
      </c>
      <c r="AW196" s="4">
        <v>1</v>
      </c>
      <c r="AX196">
        <f>((MAX($J196,1)*MIN($AE196/300,1)))*IF(D196="Wagon",50,10)</f>
        <v>10.4</v>
      </c>
      <c r="AY196">
        <f>VLOOKUP($E196,Constants!$I:$K, 2, FALSE)</f>
        <v>0.85</v>
      </c>
      <c r="AZ196">
        <f>VLOOKUP($E196,Constants!$I:$K, 3, FALSE)*IF(AND(D196="multiple_unit",Y196&lt;110),0.75,1)</f>
        <v>1.7249999999999999</v>
      </c>
      <c r="BA196">
        <f>INT(POWER(((Constants!$G$2+$AT196+$AU196+$AV196+$AX196)*$AW196)*$AZ196, 1.05))+$AS196</f>
        <v>91</v>
      </c>
      <c r="BB196">
        <f>INT(((Constants!$G$1+$AT196+$AU196+$AV196+$AX196)*(1/$AW196))*$AY196)+$AR196</f>
        <v>61</v>
      </c>
      <c r="BG196" t="s">
        <v>219</v>
      </c>
      <c r="BK196" t="s">
        <v>325</v>
      </c>
      <c r="BL196" t="str">
        <f>VLOOKUP(G196,Eras!$A$2:$C$10, 2, TRUE)</f>
        <v>lbr</v>
      </c>
      <c r="BM196" t="s">
        <v>375</v>
      </c>
      <c r="BN196" t="str">
        <f>CONCATENATE(BL196,"_",BM196)</f>
        <v>lbr_EMU</v>
      </c>
      <c r="BO196" t="str">
        <f t="shared" si="12"/>
        <v/>
      </c>
      <c r="BP196" t="str">
        <f t="shared" si="13"/>
        <v>{BLACK}Cars: {GOLD}4{}</v>
      </c>
      <c r="BQ196" t="s">
        <v>664</v>
      </c>
      <c r="BR196" t="str">
        <f t="shared" si="14"/>
        <v/>
      </c>
      <c r="BS196" t="str">
        <f t="shared" si="15"/>
        <v>{BLACK}Cars: {GOLD}4{}{SILVER}The Class 455 is a DC third rail version of British Rail's second generation EMU design. Some units re-used existing carriages from the Class 508, recognisable by the different side profile.</v>
      </c>
    </row>
    <row r="197" spans="1:71" x14ac:dyDescent="0.25">
      <c r="A197" t="s">
        <v>99</v>
      </c>
      <c r="B197" t="s">
        <v>685</v>
      </c>
      <c r="C197">
        <v>456</v>
      </c>
      <c r="D197" t="s">
        <v>455</v>
      </c>
      <c r="E197" t="s">
        <v>314</v>
      </c>
      <c r="F197" t="s">
        <v>316</v>
      </c>
      <c r="G197">
        <v>1984</v>
      </c>
      <c r="H197">
        <v>1987</v>
      </c>
      <c r="J197">
        <v>2</v>
      </c>
      <c r="K197">
        <f>286*2</f>
        <v>572</v>
      </c>
      <c r="T197">
        <f>35.8*2</f>
        <v>71.599999999999994</v>
      </c>
      <c r="W197">
        <v>110</v>
      </c>
      <c r="X197" s="4">
        <f>IF(AND(T197&gt;0,W197&gt;0),(W197/((T197+U197)*10)),"")</f>
        <v>0.15363128491620112</v>
      </c>
      <c r="Y197">
        <v>75</v>
      </c>
      <c r="AA197">
        <v>20</v>
      </c>
      <c r="AB197">
        <v>20</v>
      </c>
      <c r="AC197">
        <v>2.81</v>
      </c>
      <c r="AD197">
        <v>3.7</v>
      </c>
      <c r="AE197" s="11">
        <v>63</v>
      </c>
      <c r="AF197" t="str">
        <f>CONCATENATE(VLOOKUP(AG197, 'Voxel Sizes'!$A$2:$B$18,2,FALSE),"x",INT(AC197*15), "x", INT(AD197*15))</f>
        <v>198x42x55</v>
      </c>
      <c r="AG197">
        <f>ROUND(15*((AB197*10)/256),0)</f>
        <v>12</v>
      </c>
      <c r="AI197" t="str">
        <f>CONCATENATE(VLOOKUP(AG197,Constants!$A$2:$C$16,IF(AH197&lt;&gt;"", 3, 2), FALSE),IF(AH197&lt;&gt;"",CONCATENATE(",",VLOOKUP(AH197,$B:$AI,34,FALSE)),""))</f>
        <v>4,4,4</v>
      </c>
      <c r="AK197" t="s">
        <v>684</v>
      </c>
      <c r="AM197" t="s">
        <v>519</v>
      </c>
      <c r="AP197">
        <v>38</v>
      </c>
      <c r="AQ197" t="str">
        <f>IF(I197&lt;&gt;"",MAX(8,(I197-G197)-4),"")</f>
        <v/>
      </c>
      <c r="AT197">
        <f>MIN(Y197/150, 1)*30</f>
        <v>15</v>
      </c>
      <c r="AU197">
        <f>MIN(K197/4000, 1)*20</f>
        <v>2.86</v>
      </c>
      <c r="AV197">
        <f>MIN(W197/400,1)*20</f>
        <v>5.5</v>
      </c>
      <c r="AW197" s="4">
        <v>1</v>
      </c>
      <c r="AX197">
        <f>((MAX($J197,1)*MIN($AE197/300,1)))*IF(D197="Wagon",50,10)</f>
        <v>4.2</v>
      </c>
      <c r="AY197">
        <f>VLOOKUP($E197,Constants!$I:$K, 2, FALSE)</f>
        <v>1</v>
      </c>
      <c r="AZ197">
        <f>VLOOKUP($E197,Constants!$I:$K, 3, FALSE)*IF(AND(D197="multiple_unit",Y197&lt;110),0.75,1)</f>
        <v>1.5</v>
      </c>
      <c r="BA197">
        <f>INT(POWER(((Constants!$G$2+$AT197+$AU197+$AV197+$AX197)*$AW197)*$AZ197, 1.05))+$AS197</f>
        <v>59</v>
      </c>
      <c r="BB197">
        <f>INT(((Constants!$G$1+$AT197+$AU197+$AV197+$AX197)*(1/$AW197))*$AY197)+$AR197</f>
        <v>62</v>
      </c>
      <c r="BG197" t="s">
        <v>1182</v>
      </c>
      <c r="BK197" t="s">
        <v>325</v>
      </c>
      <c r="BL197" t="str">
        <f>VLOOKUP(G197,Eras!$A$2:$C$10, 2, TRUE)</f>
        <v>lbr</v>
      </c>
      <c r="BM197" t="s">
        <v>373</v>
      </c>
      <c r="BN197" t="str">
        <f>CONCATENATE(BL197,"_",BM197)</f>
        <v>lbr_DMU</v>
      </c>
      <c r="BO197" t="str">
        <f t="shared" si="12"/>
        <v/>
      </c>
      <c r="BP197" t="str">
        <f t="shared" si="13"/>
        <v>{BLACK}Cars: {GOLD}2{}</v>
      </c>
      <c r="BQ197" t="s">
        <v>683</v>
      </c>
      <c r="BR197" t="str">
        <f t="shared" si="14"/>
        <v/>
      </c>
      <c r="BS197" t="str">
        <f t="shared" si="15"/>
        <v>{BLACK}Cars: {GOLD}2{}{SILVER}The Sprinter replaced first-generation DMUs. Like other second-generation units it was based on the Mark 3 bodyshell. The name refers to its faster acceleration compared to the units it replaced.</v>
      </c>
    </row>
    <row r="198" spans="1:71" x14ac:dyDescent="0.25">
      <c r="A198" t="s">
        <v>700</v>
      </c>
      <c r="B198" t="s">
        <v>266</v>
      </c>
      <c r="C198">
        <v>458</v>
      </c>
      <c r="D198" t="s">
        <v>455</v>
      </c>
      <c r="E198" t="s">
        <v>314</v>
      </c>
      <c r="F198" t="s">
        <v>316</v>
      </c>
      <c r="G198">
        <v>1984</v>
      </c>
      <c r="H198">
        <v>1988</v>
      </c>
      <c r="I198">
        <v>2005</v>
      </c>
      <c r="J198">
        <v>2</v>
      </c>
      <c r="K198">
        <v>205</v>
      </c>
      <c r="T198">
        <f>26+26.5</f>
        <v>52.5</v>
      </c>
      <c r="W198">
        <v>70</v>
      </c>
      <c r="X198" s="4">
        <f>IF(AND(T198&gt;0,W198&gt;0),(W198/((T198+U198)*10)),"")</f>
        <v>0.13333333333333333</v>
      </c>
      <c r="Y198">
        <v>75</v>
      </c>
      <c r="AA198">
        <v>15.45</v>
      </c>
      <c r="AB198">
        <v>15.45</v>
      </c>
      <c r="AC198">
        <v>2.5</v>
      </c>
      <c r="AD198">
        <v>3.9</v>
      </c>
      <c r="AE198" s="11">
        <v>46</v>
      </c>
      <c r="AF198" t="str">
        <f>CONCATENATE(VLOOKUP(AG198, 'Voxel Sizes'!$A$2:$B$18,2,FALSE),"x",INT(AC198*15), "x", INT(AD198*15))</f>
        <v>152x37x58</v>
      </c>
      <c r="AG198">
        <f>ROUND(15*((AB198*10)/256),0)</f>
        <v>9</v>
      </c>
      <c r="AI198" t="str">
        <f>CONCATENATE(VLOOKUP(AG198,Constants!$A$2:$C$16,IF(AH198&lt;&gt;"", 3, 2), FALSE),IF(AH198&lt;&gt;"",CONCATENATE(",",VLOOKUP(AH198,$B:$AI,34,FALSE)),""))</f>
        <v>2,5,2</v>
      </c>
      <c r="AK198" t="s">
        <v>695</v>
      </c>
      <c r="AM198" t="s">
        <v>519</v>
      </c>
      <c r="AP198">
        <v>28</v>
      </c>
      <c r="AQ198">
        <f>IF(I198&lt;&gt;"",MAX(8,(I198-G198)-4),"")</f>
        <v>17</v>
      </c>
      <c r="AT198">
        <f>MIN(Y198/150, 1)*30</f>
        <v>15</v>
      </c>
      <c r="AU198">
        <f>MIN(K198/4000, 1)*20</f>
        <v>1.0249999999999999</v>
      </c>
      <c r="AV198">
        <f>MIN(W198/400,1)*20</f>
        <v>3.5</v>
      </c>
      <c r="AW198" s="4">
        <v>1</v>
      </c>
      <c r="AX198">
        <f>((MAX($J198,1)*MIN($AE198/300,1)))*IF(D198="Wagon",50,10)</f>
        <v>3.0666666666666664</v>
      </c>
      <c r="AY198">
        <f>VLOOKUP($E198,Constants!$I:$K, 2, FALSE)</f>
        <v>1</v>
      </c>
      <c r="AZ198">
        <f>VLOOKUP($E198,Constants!$I:$K, 3, FALSE)*IF(AND(D198="multiple_unit",Y198&lt;110),0.75,1)</f>
        <v>1.5</v>
      </c>
      <c r="BA198">
        <f>INT(POWER(((Constants!$G$2+$AT198+$AU198+$AV198+$AX198)*$AW198)*$AZ198, 1.05))+$AS198</f>
        <v>49</v>
      </c>
      <c r="BB198">
        <f>INT(((Constants!$G$1+$AT198+$AU198+$AV198+$AX198)*(1/$AW198))*$AY198)+$AR198</f>
        <v>57</v>
      </c>
      <c r="BG198" t="s">
        <v>1183</v>
      </c>
      <c r="BK198" t="s">
        <v>325</v>
      </c>
      <c r="BL198" t="str">
        <f>VLOOKUP(G198,Eras!$A$2:$C$10, 2, TRUE)</f>
        <v>lbr</v>
      </c>
      <c r="BM198" t="s">
        <v>372</v>
      </c>
      <c r="BN198" t="str">
        <f>CONCATENATE(BL198,"_",BM198)</f>
        <v>lbr_DMU (Cheap)</v>
      </c>
      <c r="BO198" t="str">
        <f t="shared" si="12"/>
        <v/>
      </c>
      <c r="BP198" t="str">
        <f t="shared" si="13"/>
        <v>{BLACK}Cars: {GOLD}2{}</v>
      </c>
      <c r="BQ198" t="s">
        <v>701</v>
      </c>
      <c r="BR198" t="str">
        <f t="shared" si="14"/>
        <v/>
      </c>
      <c r="BS198" t="str">
        <f t="shared" si="15"/>
        <v>{BLACK}Cars: {GOLD}2{}{SILVER}The Class 141 is a multiple unit built from Leyland National bus parts. While cheap and light, it is criticised for its poor ride quality.</v>
      </c>
    </row>
    <row r="199" spans="1:71" x14ac:dyDescent="0.25">
      <c r="A199" t="s">
        <v>88</v>
      </c>
      <c r="B199" t="s">
        <v>215</v>
      </c>
      <c r="C199">
        <v>460</v>
      </c>
      <c r="D199" t="s">
        <v>455</v>
      </c>
      <c r="E199" t="s">
        <v>607</v>
      </c>
      <c r="F199" t="s">
        <v>606</v>
      </c>
      <c r="G199">
        <v>1987</v>
      </c>
      <c r="H199">
        <v>1990</v>
      </c>
      <c r="J199">
        <v>4</v>
      </c>
      <c r="K199">
        <f>4*332</f>
        <v>1328</v>
      </c>
      <c r="T199">
        <v>140.30000000000001</v>
      </c>
      <c r="W199">
        <v>160</v>
      </c>
      <c r="X199" s="4">
        <f>IF(AND(T199&gt;0,W199&gt;0),(W199/((T199+U199)*10)),"")</f>
        <v>0.11404133998574484</v>
      </c>
      <c r="Y199">
        <v>100</v>
      </c>
      <c r="AA199">
        <v>19.829999999999998</v>
      </c>
      <c r="AB199">
        <v>19.829999999999998</v>
      </c>
      <c r="AD199">
        <v>3.58</v>
      </c>
      <c r="AE199" s="11">
        <v>78</v>
      </c>
      <c r="AF199" t="str">
        <f>CONCATENATE(VLOOKUP(AG199, 'Voxel Sizes'!$A$2:$B$18,2,FALSE),"x",INT(AC199*15), "x", INT(AD199*15))</f>
        <v>198x0x53</v>
      </c>
      <c r="AG199">
        <f>ROUND(15*((AB199*10)/256),0)</f>
        <v>12</v>
      </c>
      <c r="AI199" t="str">
        <f>CONCATENATE(VLOOKUP(AG199,Constants!$A$2:$C$16,IF(AH199&lt;&gt;"", 3, 2), FALSE),IF(AH199&lt;&gt;"",CONCATENATE(",",VLOOKUP(AH199,$B:$AI,34,FALSE)),""))</f>
        <v>4,4,4</v>
      </c>
      <c r="AK199" t="s">
        <v>620</v>
      </c>
      <c r="AL199" t="s">
        <v>621</v>
      </c>
      <c r="AM199" t="s">
        <v>610</v>
      </c>
      <c r="AP199">
        <v>42</v>
      </c>
      <c r="AQ199" t="str">
        <f>IF(I199&lt;&gt;"",MAX(8,(I199-G199)-4),"")</f>
        <v/>
      </c>
      <c r="AT199">
        <f>MIN(Y199/150, 1)*30</f>
        <v>20</v>
      </c>
      <c r="AU199">
        <f>MIN(K199/4000, 1)*20</f>
        <v>6.6400000000000006</v>
      </c>
      <c r="AV199">
        <f>MIN(W199/400,1)*20</f>
        <v>8</v>
      </c>
      <c r="AW199" s="4">
        <v>1</v>
      </c>
      <c r="AX199">
        <f>((MAX($J199,1)*MIN($AE199/300,1)))*IF(D199="Wagon",50,10)</f>
        <v>10.4</v>
      </c>
      <c r="AY199">
        <f>VLOOKUP($E199,Constants!$I:$K, 2, FALSE)</f>
        <v>0.85</v>
      </c>
      <c r="AZ199">
        <f>VLOOKUP($E199,Constants!$I:$K, 3, FALSE)*IF(AND(D199="multiple_unit",Y199&lt;110),0.75,1)</f>
        <v>1.7999999999999998</v>
      </c>
      <c r="BA199">
        <f>INT(POWER(((Constants!$G$2+$AT199+$AU199+$AV199+$AX199)*$AW199)*$AZ199, 1.05))+$AS199</f>
        <v>112</v>
      </c>
      <c r="BB199">
        <f>INT(((Constants!$G$1+$AT199+$AU199+$AV199+$AX199)*(1/$AW199))*$AY199)+$AR199</f>
        <v>68</v>
      </c>
      <c r="BK199" t="s">
        <v>325</v>
      </c>
      <c r="BL199" t="str">
        <f>VLOOKUP(G199,Eras!$A$2:$C$10, 2, TRUE)</f>
        <v>lbr</v>
      </c>
      <c r="BM199" t="s">
        <v>375</v>
      </c>
      <c r="BN199" t="str">
        <f>CONCATENATE(BL199,"_",BM199)</f>
        <v>lbr_EMU</v>
      </c>
      <c r="BO199" t="str">
        <f t="shared" si="12"/>
        <v/>
      </c>
      <c r="BP199" t="str">
        <f t="shared" si="13"/>
        <v>{BLACK}Cars: {GOLD}4{}</v>
      </c>
      <c r="BQ199" t="s">
        <v>619</v>
      </c>
      <c r="BR199" t="str">
        <f t="shared" si="14"/>
        <v/>
      </c>
      <c r="BS199" t="str">
        <f t="shared" si="15"/>
        <v>{BLACK}Cars: {GOLD}4{}{SILVER}The Class 319 is a dual-voltage EMU built for the then-new Thameslink service between Brighton and Bedford.</v>
      </c>
    </row>
    <row r="200" spans="1:71" x14ac:dyDescent="0.25">
      <c r="A200" t="s">
        <v>686</v>
      </c>
      <c r="B200" t="s">
        <v>263</v>
      </c>
      <c r="C200">
        <v>462</v>
      </c>
      <c r="D200" t="s">
        <v>455</v>
      </c>
      <c r="E200" t="s">
        <v>314</v>
      </c>
      <c r="F200" t="s">
        <v>316</v>
      </c>
      <c r="G200">
        <v>1988</v>
      </c>
      <c r="J200">
        <v>2</v>
      </c>
      <c r="K200">
        <f>285*2</f>
        <v>570</v>
      </c>
      <c r="T200">
        <f>35.5+36.1</f>
        <v>71.599999999999994</v>
      </c>
      <c r="W200">
        <v>110</v>
      </c>
      <c r="X200" s="4">
        <f>IF(AND(T200&gt;0,W200&gt;0),(W200/((T200+U200)*10)),"")</f>
        <v>0.15363128491620112</v>
      </c>
      <c r="Y200">
        <v>75</v>
      </c>
      <c r="AA200">
        <v>23</v>
      </c>
      <c r="AB200">
        <v>23</v>
      </c>
      <c r="AC200">
        <v>2.8</v>
      </c>
      <c r="AD200">
        <v>3.7</v>
      </c>
      <c r="AE200" s="11">
        <v>69</v>
      </c>
      <c r="AF200" t="str">
        <f>CONCATENATE(VLOOKUP(AG200, 'Voxel Sizes'!$A$2:$B$18,2,FALSE),"x",INT(AC200*15), "x", INT(AD200*15))</f>
        <v>214x42x55</v>
      </c>
      <c r="AG200">
        <f>ROUND(15*((AB200*10)/256),0)</f>
        <v>13</v>
      </c>
      <c r="AI200" t="str">
        <f>CONCATENATE(VLOOKUP(AG200,Constants!$A$2:$C$16,IF(AH200&lt;&gt;"", 3, 2), FALSE),IF(AH200&lt;&gt;"",CONCATENATE(",",VLOOKUP(AH200,$B:$AI,34,FALSE)),""))</f>
        <v>4,5,4</v>
      </c>
      <c r="AK200" t="s">
        <v>688</v>
      </c>
      <c r="AM200" t="s">
        <v>519</v>
      </c>
      <c r="AP200">
        <v>43</v>
      </c>
      <c r="AQ200" t="str">
        <f>IF(I200&lt;&gt;"",MAX(8,(I200-G200)-4),"")</f>
        <v/>
      </c>
      <c r="AT200">
        <f>MIN(Y200/150, 1)*30</f>
        <v>15</v>
      </c>
      <c r="AU200">
        <f>MIN(K200/4000, 1)*20</f>
        <v>2.8499999999999996</v>
      </c>
      <c r="AV200">
        <f>MIN(W200/400,1)*20</f>
        <v>5.5</v>
      </c>
      <c r="AW200" s="4">
        <v>1</v>
      </c>
      <c r="AX200">
        <f>((MAX($J200,1)*MIN($AE200/300,1)))*IF(D200="Wagon",50,10)</f>
        <v>4.6000000000000005</v>
      </c>
      <c r="AY200">
        <f>VLOOKUP($E200,Constants!$I:$K, 2, FALSE)</f>
        <v>1</v>
      </c>
      <c r="AZ200">
        <f>VLOOKUP($E200,Constants!$I:$K, 3, FALSE)*IF(AND(D200="multiple_unit",Y200&lt;110),0.75,1)</f>
        <v>1.5</v>
      </c>
      <c r="BA200">
        <f>INT(POWER(((Constants!$G$2+$AT200+$AU200+$AV200+$AX200)*$AW200)*$AZ200, 1.05))+$AS200</f>
        <v>60</v>
      </c>
      <c r="BB200">
        <f>INT(((Constants!$G$1+$AT200+$AU200+$AV200+$AX200)*(1/$AW200))*$AY200)+$AR200</f>
        <v>62</v>
      </c>
      <c r="BG200" t="s">
        <v>1184</v>
      </c>
      <c r="BK200" t="s">
        <v>325</v>
      </c>
      <c r="BL200" t="str">
        <f>VLOOKUP(G200,Eras!$A$2:$C$10, 2, TRUE)</f>
        <v>lbr</v>
      </c>
      <c r="BM200" t="s">
        <v>373</v>
      </c>
      <c r="BN200" t="str">
        <f>CONCATENATE(BL200,"_",BM200)</f>
        <v>lbr_DMU</v>
      </c>
      <c r="BO200" t="str">
        <f t="shared" si="12"/>
        <v/>
      </c>
      <c r="BP200" t="str">
        <f t="shared" si="13"/>
        <v>{BLACK}Cars: {GOLD}2{}</v>
      </c>
      <c r="BQ200" t="s">
        <v>687</v>
      </c>
      <c r="BR200" t="str">
        <f t="shared" si="14"/>
        <v/>
      </c>
      <c r="BS200" t="str">
        <f t="shared" si="15"/>
        <v>{BLACK}Cars: {GOLD}2{}{SILVER}The Class 156 is a member of the Sprinter family designed for longer journeys, with single doors at each end rather than the metro-style doors of the Class 150s.</v>
      </c>
    </row>
    <row r="201" spans="1:71" x14ac:dyDescent="0.25">
      <c r="A201" t="s">
        <v>106</v>
      </c>
      <c r="B201" t="s">
        <v>270</v>
      </c>
      <c r="C201">
        <v>464</v>
      </c>
      <c r="D201" t="s">
        <v>455</v>
      </c>
      <c r="E201" t="s">
        <v>338</v>
      </c>
      <c r="F201" t="s">
        <v>345</v>
      </c>
      <c r="G201">
        <v>1988</v>
      </c>
      <c r="J201">
        <v>5</v>
      </c>
      <c r="K201">
        <v>1610</v>
      </c>
      <c r="T201">
        <v>202.8</v>
      </c>
      <c r="W201">
        <v>190</v>
      </c>
      <c r="X201" s="4">
        <f>IF(AND(T201&gt;0,W201&gt;0),(W201/((T201+U201)*10)),"")</f>
        <v>9.3688362919132157E-2</v>
      </c>
      <c r="Y201">
        <v>108</v>
      </c>
      <c r="AA201">
        <v>23</v>
      </c>
      <c r="AB201">
        <v>23</v>
      </c>
      <c r="AC201">
        <v>2.74</v>
      </c>
      <c r="AD201">
        <v>3.81</v>
      </c>
      <c r="AE201" s="11">
        <v>66</v>
      </c>
      <c r="AF201" t="str">
        <f>CONCATENATE(VLOOKUP(AG201, 'Voxel Sizes'!$A$2:$B$18,2,FALSE),"x",INT(AC201*15), "x", INT(AD201*15))</f>
        <v>214x41x57</v>
      </c>
      <c r="AG201">
        <f>ROUND(15*((AB201*10)/256),0)</f>
        <v>13</v>
      </c>
      <c r="AI201" t="str">
        <f>CONCATENATE(VLOOKUP(AG201,Constants!$A$2:$C$16,IF(AH201&lt;&gt;"", 3, 2), FALSE),IF(AH201&lt;&gt;"",CONCATENATE(",",VLOOKUP(AH201,$B:$AI,34,FALSE)),""))</f>
        <v>4,5,4</v>
      </c>
      <c r="AK201" t="s">
        <v>724</v>
      </c>
      <c r="AM201" t="s">
        <v>662</v>
      </c>
      <c r="AP201">
        <v>45</v>
      </c>
      <c r="AQ201" t="str">
        <f>IF(I201&lt;&gt;"",MAX(8,(I201-G201)-4),"")</f>
        <v/>
      </c>
      <c r="AT201">
        <f>MIN(Y201/150, 1)*30</f>
        <v>21.599999999999998</v>
      </c>
      <c r="AU201">
        <f>MIN(K201/4000, 1)*20</f>
        <v>8.0500000000000007</v>
      </c>
      <c r="AV201">
        <f>MIN(W201/400,1)*20</f>
        <v>9.5</v>
      </c>
      <c r="AW201" s="4">
        <v>1</v>
      </c>
      <c r="AX201">
        <f>((MAX($J201,1)*MIN($AE201/300,1)))*IF(D201="Wagon",50,10)</f>
        <v>11</v>
      </c>
      <c r="AY201">
        <f>VLOOKUP($E201,Constants!$I:$K, 2, FALSE)</f>
        <v>0.85</v>
      </c>
      <c r="AZ201">
        <f>VLOOKUP($E201,Constants!$I:$K, 3, FALSE)*IF(AND(D201="multiple_unit",Y201&lt;110),0.75,1)</f>
        <v>1.7249999999999999</v>
      </c>
      <c r="BA201">
        <f>INT(POWER(((Constants!$G$2+$AT201+$AU201+$AV201+$AX201)*$AW201)*$AZ201, 1.05))+$AS201</f>
        <v>119</v>
      </c>
      <c r="BB201">
        <f>INT(((Constants!$G$1+$AT201+$AU201+$AV201+$AX201)*(1/$AW201))*$AY201)+$AR201</f>
        <v>72</v>
      </c>
      <c r="BG201" t="s">
        <v>1186</v>
      </c>
      <c r="BI201" t="s">
        <v>1218</v>
      </c>
      <c r="BK201" t="s">
        <v>325</v>
      </c>
      <c r="BL201" t="str">
        <f>VLOOKUP(G201,Eras!$A$2:$C$10, 2, TRUE)</f>
        <v>lbr</v>
      </c>
      <c r="BM201" t="s">
        <v>376</v>
      </c>
      <c r="BN201" t="str">
        <f>CONCATENATE(BL201,"_",BM201)</f>
        <v>lbr_EMU (Express)</v>
      </c>
      <c r="BO201" t="str">
        <f t="shared" si="12"/>
        <v/>
      </c>
      <c r="BP201" t="str">
        <f t="shared" si="13"/>
        <v>{BLACK}Cars: {GOLD}5{}</v>
      </c>
      <c r="BQ201" t="s">
        <v>725</v>
      </c>
      <c r="BR201" t="str">
        <f t="shared" si="14"/>
        <v/>
      </c>
      <c r="BS201" t="str">
        <f t="shared" si="15"/>
        <v>{BLACK}Cars: {GOLD}5{}{SILVER}The Class 442 holds the speed record for a third rail EMU at 108mph. Unlike most of its generation of Mk3-based multiple units, it uses the full-length carriage bodyshell.</v>
      </c>
    </row>
    <row r="202" spans="1:71" x14ac:dyDescent="0.25">
      <c r="A202" t="s">
        <v>106</v>
      </c>
      <c r="B202" t="s">
        <v>1206</v>
      </c>
      <c r="C202">
        <v>465</v>
      </c>
      <c r="D202" t="s">
        <v>455</v>
      </c>
      <c r="E202" t="s">
        <v>338</v>
      </c>
      <c r="F202" t="s">
        <v>345</v>
      </c>
      <c r="G202">
        <v>1988</v>
      </c>
      <c r="J202">
        <v>4</v>
      </c>
      <c r="K202">
        <v>1610</v>
      </c>
      <c r="T202">
        <f>202.8/5*4</f>
        <v>162.24</v>
      </c>
      <c r="W202">
        <v>190</v>
      </c>
      <c r="X202" s="4">
        <f>IF(AND(T202&gt;0,W202&gt;0),(W202/((T202+U202)*10)),"")</f>
        <v>0.11711045364891517</v>
      </c>
      <c r="Y202">
        <v>108</v>
      </c>
      <c r="AA202">
        <v>23</v>
      </c>
      <c r="AB202">
        <v>23</v>
      </c>
      <c r="AC202">
        <v>2.74</v>
      </c>
      <c r="AD202">
        <v>3.81</v>
      </c>
      <c r="AE202" s="11">
        <v>66</v>
      </c>
      <c r="AF202" t="str">
        <f>CONCATENATE(VLOOKUP(AG202, 'Voxel Sizes'!$A$2:$B$18,2,FALSE),"x",INT(AC202*15), "x", INT(AD202*15))</f>
        <v>214x41x57</v>
      </c>
      <c r="AG202">
        <f>ROUND(15*((AB202*10)/256),0)</f>
        <v>13</v>
      </c>
      <c r="AI202" t="str">
        <f>CONCATENATE(VLOOKUP(AG202,Constants!$A$2:$C$16,IF(AH202&lt;&gt;"", 3, 2), FALSE),IF(AH202&lt;&gt;"",CONCATENATE(",",VLOOKUP(AH202,$B:$AI,34,FALSE)),""))</f>
        <v>4,5,4</v>
      </c>
      <c r="AK202" t="s">
        <v>1207</v>
      </c>
      <c r="AM202" t="s">
        <v>1197</v>
      </c>
      <c r="AN202" t="s">
        <v>270</v>
      </c>
      <c r="AP202">
        <v>45</v>
      </c>
      <c r="AQ202" t="str">
        <f>IF(I202&lt;&gt;"",MAX(8,(I202-G202)-4),"")</f>
        <v/>
      </c>
      <c r="AT202">
        <f>MIN(Y202/150, 1)*30</f>
        <v>21.599999999999998</v>
      </c>
      <c r="AU202">
        <f>MIN(K202/4000, 1)*20</f>
        <v>8.0500000000000007</v>
      </c>
      <c r="AV202">
        <f>MIN(W202/400,1)*20</f>
        <v>9.5</v>
      </c>
      <c r="AW202" s="4">
        <v>1</v>
      </c>
      <c r="AX202">
        <f>((MAX($J202,1)*MIN($AE202/300,1)))*IF(D202="Wagon",50,10)</f>
        <v>8.8000000000000007</v>
      </c>
      <c r="AY202">
        <f>VLOOKUP($E202,Constants!$I:$K, 2, FALSE)</f>
        <v>0.85</v>
      </c>
      <c r="AZ202">
        <f>VLOOKUP($E202,Constants!$I:$K, 3, FALSE)*IF(AND(D202="multiple_unit",Y202&lt;110),0.75,1)</f>
        <v>1.7249999999999999</v>
      </c>
      <c r="BA202">
        <f>INT(POWER(((Constants!$G$2+$AT202+$AU202+$AV202+$AX202)*$AW202)*$AZ202, 1.05))+$AS202</f>
        <v>114</v>
      </c>
      <c r="BB202">
        <f>INT(((Constants!$G$1+$AT202+$AU202+$AV202+$AX202)*(1/$AW202))*$AY202)+$AR202</f>
        <v>70</v>
      </c>
      <c r="BG202" t="s">
        <v>1186</v>
      </c>
      <c r="BI202" t="s">
        <v>1220</v>
      </c>
      <c r="BK202" t="s">
        <v>325</v>
      </c>
      <c r="BL202" t="str">
        <f>VLOOKUP(G202,Eras!$A$2:$C$10, 2, TRUE)</f>
        <v>lbr</v>
      </c>
      <c r="BM202" t="s">
        <v>376</v>
      </c>
      <c r="BN202" t="str">
        <f>CONCATENATE(BL202,"_",BM202)</f>
        <v>lbr_EMU (Express)</v>
      </c>
      <c r="BO202" t="str">
        <f t="shared" si="12"/>
        <v/>
      </c>
      <c r="BP202" t="str">
        <f t="shared" si="13"/>
        <v>{BLACK}Cars: {GOLD}4{}</v>
      </c>
      <c r="BQ202" t="s">
        <v>725</v>
      </c>
      <c r="BR202" t="str">
        <f t="shared" si="14"/>
        <v/>
      </c>
      <c r="BS202" t="str">
        <f t="shared" si="15"/>
        <v>{BLACK}Cars: {GOLD}4{}{SILVER}The Class 442 holds the speed record for a third rail EMU at 108mph. Unlike most of its generation of Mk3-based multiple units, it uses the full-length carriage bodyshell.</v>
      </c>
    </row>
    <row r="203" spans="1:71" x14ac:dyDescent="0.25">
      <c r="A203" t="s">
        <v>100</v>
      </c>
      <c r="B203" t="s">
        <v>264</v>
      </c>
      <c r="C203">
        <v>466</v>
      </c>
      <c r="D203" t="s">
        <v>455</v>
      </c>
      <c r="E203" t="s">
        <v>314</v>
      </c>
      <c r="F203" t="s">
        <v>316</v>
      </c>
      <c r="G203">
        <v>1989</v>
      </c>
      <c r="H203">
        <v>1992</v>
      </c>
      <c r="J203">
        <v>3</v>
      </c>
      <c r="K203">
        <f>350*3</f>
        <v>1050</v>
      </c>
      <c r="T203">
        <f>37.8*3</f>
        <v>113.39999999999999</v>
      </c>
      <c r="W203">
        <v>120</v>
      </c>
      <c r="X203" s="4">
        <f>IF(AND(T203&gt;0,W203&gt;0),(W203/((T203+U203)*10)),"")</f>
        <v>0.10582010582010581</v>
      </c>
      <c r="Y203">
        <v>90</v>
      </c>
      <c r="AA203">
        <v>23.2</v>
      </c>
      <c r="AB203">
        <v>23</v>
      </c>
      <c r="AC203">
        <v>2.7</v>
      </c>
      <c r="AE203" s="11">
        <v>69</v>
      </c>
      <c r="AF203" t="str">
        <f>CONCATENATE(VLOOKUP(AG203, 'Voxel Sizes'!$A$2:$B$18,2,FALSE),"x",INT(AC203*15), "x", INT(AD203*15))</f>
        <v>214x40x0</v>
      </c>
      <c r="AG203">
        <f>ROUND(15*((AB203*10)/256),0)</f>
        <v>13</v>
      </c>
      <c r="AI203" t="str">
        <f>CONCATENATE(VLOOKUP(AG203,Constants!$A$2:$C$16,IF(AH203&lt;&gt;"", 3, 2), FALSE),IF(AH203&lt;&gt;"",CONCATENATE(",",VLOOKUP(AH203,$B:$AI,34,FALSE)),""))</f>
        <v>4,5,4</v>
      </c>
      <c r="AK203" t="s">
        <v>689</v>
      </c>
      <c r="AM203" t="s">
        <v>334</v>
      </c>
      <c r="AP203">
        <v>43</v>
      </c>
      <c r="AQ203" t="str">
        <f>IF(I203&lt;&gt;"",MAX(8,(I203-G203)-4),"")</f>
        <v/>
      </c>
      <c r="AT203">
        <f>MIN(Y203/150, 1)*30</f>
        <v>18</v>
      </c>
      <c r="AU203">
        <f>MIN(K203/4000, 1)*20</f>
        <v>5.25</v>
      </c>
      <c r="AV203">
        <f>MIN(W203/400,1)*20</f>
        <v>6</v>
      </c>
      <c r="AW203" s="4">
        <v>1</v>
      </c>
      <c r="AX203">
        <f>((MAX($J203,1)*MIN($AE203/300,1)))*IF(D203="Wagon",50,10)</f>
        <v>6.9</v>
      </c>
      <c r="AY203">
        <f>VLOOKUP($E203,Constants!$I:$K, 2, FALSE)</f>
        <v>1</v>
      </c>
      <c r="AZ203">
        <f>VLOOKUP($E203,Constants!$I:$K, 3, FALSE)*IF(AND(D203="multiple_unit",Y203&lt;110),0.75,1)</f>
        <v>1.5</v>
      </c>
      <c r="BA203">
        <f>INT(POWER(((Constants!$G$2+$AT203+$AU203+$AV203+$AX203)*$AW203)*$AZ203, 1.05))+$AS203</f>
        <v>75</v>
      </c>
      <c r="BB203">
        <f>INT(((Constants!$G$1+$AT203+$AU203+$AV203+$AX203)*(1/$AW203))*$AY203)+$AR203</f>
        <v>71</v>
      </c>
      <c r="BG203" t="s">
        <v>1185</v>
      </c>
      <c r="BK203" t="s">
        <v>325</v>
      </c>
      <c r="BL203" t="str">
        <f>VLOOKUP(G203,Eras!$A$2:$C$10, 2, TRUE)</f>
        <v>lbr</v>
      </c>
      <c r="BM203" t="s">
        <v>374</v>
      </c>
      <c r="BN203" t="str">
        <f>CONCATENATE(BL203,"_",BM203)</f>
        <v>lbr_DMU (Express)</v>
      </c>
      <c r="BO203" t="str">
        <f t="shared" si="12"/>
        <v/>
      </c>
      <c r="BP203" t="str">
        <f t="shared" si="13"/>
        <v>{BLACK}Cars: {GOLD}3{}</v>
      </c>
      <c r="BQ203" t="s">
        <v>690</v>
      </c>
      <c r="BR203" t="str">
        <f t="shared" si="14"/>
        <v/>
      </c>
      <c r="BS203" t="str">
        <f t="shared" si="15"/>
        <v>{BLACK}Cars: {GOLD}3{}{SILVER}The Class 158 has many improvements over earlier generation Sprinters, including air conditioning and a more comfortable ride.</v>
      </c>
    </row>
    <row r="204" spans="1:71" x14ac:dyDescent="0.25">
      <c r="A204" t="s">
        <v>96</v>
      </c>
      <c r="B204" t="s">
        <v>219</v>
      </c>
      <c r="C204">
        <v>468</v>
      </c>
      <c r="D204" t="s">
        <v>455</v>
      </c>
      <c r="E204" t="s">
        <v>338</v>
      </c>
      <c r="F204" t="s">
        <v>345</v>
      </c>
      <c r="G204">
        <v>1990</v>
      </c>
      <c r="J204">
        <v>2</v>
      </c>
      <c r="K204">
        <v>500</v>
      </c>
      <c r="T204">
        <v>72.5</v>
      </c>
      <c r="W204">
        <v>120</v>
      </c>
      <c r="X204" s="4">
        <f>IF(AND(T204&gt;0,W204&gt;0),(W204/((T204+U204)*10)),"")</f>
        <v>0.16551724137931034</v>
      </c>
      <c r="Y204">
        <v>75</v>
      </c>
      <c r="AA204">
        <v>19.8</v>
      </c>
      <c r="AB204">
        <v>19.8</v>
      </c>
      <c r="AE204" s="11">
        <v>75</v>
      </c>
      <c r="AF204" t="str">
        <f>CONCATENATE(VLOOKUP(AG204, 'Voxel Sizes'!$A$2:$B$18,2,FALSE),"x",INT(AC204*15), "x", INT(AD204*15))</f>
        <v>198x0x0</v>
      </c>
      <c r="AG204">
        <f>ROUND(15*((AB204*10)/256),0)</f>
        <v>12</v>
      </c>
      <c r="AI204" t="str">
        <f>CONCATENATE(VLOOKUP(AG204,Constants!$A$2:$C$16,IF(AH204&lt;&gt;"", 3, 2), FALSE),IF(AH204&lt;&gt;"",CONCATENATE(",",VLOOKUP(AH204,$B:$AI,34,FALSE)),""))</f>
        <v>4,4,4</v>
      </c>
      <c r="AK204" t="s">
        <v>665</v>
      </c>
      <c r="AM204" t="s">
        <v>519</v>
      </c>
      <c r="AP204">
        <v>41</v>
      </c>
      <c r="AQ204" t="str">
        <f>IF(I204&lt;&gt;"",MAX(8,(I204-G204)-4),"")</f>
        <v/>
      </c>
      <c r="AT204">
        <f>MIN(Y204/150, 1)*30</f>
        <v>15</v>
      </c>
      <c r="AU204">
        <f>MIN(K204/4000, 1)*20</f>
        <v>2.5</v>
      </c>
      <c r="AV204">
        <f>MIN(W204/400,1)*20</f>
        <v>6</v>
      </c>
      <c r="AW204" s="4">
        <v>1</v>
      </c>
      <c r="AX204">
        <f>((MAX($J204,1)*MIN($AE204/300,1)))*IF(D204="Wagon",50,10)</f>
        <v>5</v>
      </c>
      <c r="AY204">
        <f>VLOOKUP($E204,Constants!$I:$K, 2, FALSE)</f>
        <v>0.85</v>
      </c>
      <c r="AZ204">
        <f>VLOOKUP($E204,Constants!$I:$K, 3, FALSE)*IF(AND(D204="multiple_unit",Y204&lt;110),0.75,1)</f>
        <v>1.7249999999999999</v>
      </c>
      <c r="BA204">
        <f>INT(POWER(((Constants!$G$2+$AT204+$AU204+$AV204+$AX204)*$AW204)*$AZ204, 1.05))+$AS204</f>
        <v>70</v>
      </c>
      <c r="BB204">
        <f>INT(((Constants!$G$1+$AT204+$AU204+$AV204+$AX204)*(1/$AW204))*$AY204)+$AR204</f>
        <v>53</v>
      </c>
      <c r="BG204" t="s">
        <v>218</v>
      </c>
      <c r="BK204" t="s">
        <v>325</v>
      </c>
      <c r="BL204" t="str">
        <f>VLOOKUP(G204,Eras!$A$2:$C$10, 2, TRUE)</f>
        <v>lbr</v>
      </c>
      <c r="BM204" t="s">
        <v>375</v>
      </c>
      <c r="BN204" t="str">
        <f>CONCATENATE(BL204,"_",BM204)</f>
        <v>lbr_EMU</v>
      </c>
      <c r="BO204" t="str">
        <f t="shared" si="12"/>
        <v/>
      </c>
      <c r="BP204" t="str">
        <f t="shared" si="13"/>
        <v>{BLACK}Cars: {GOLD}2{}</v>
      </c>
      <c r="BQ204" t="s">
        <v>666</v>
      </c>
      <c r="BR204" t="str">
        <f t="shared" si="14"/>
        <v/>
      </c>
      <c r="BS204" t="str">
        <f t="shared" si="15"/>
        <v>{BLACK}Cars: {GOLD}2{}{SILVER}The Class 456 is a two-car EMU used for inner suburban services - either as a single unit for services with low demand or coupled to other Class 456 or 455 units for higher capacity routes.</v>
      </c>
    </row>
    <row r="205" spans="1:71" x14ac:dyDescent="0.25">
      <c r="A205" t="s">
        <v>101</v>
      </c>
      <c r="B205" t="s">
        <v>265</v>
      </c>
      <c r="C205">
        <v>470</v>
      </c>
      <c r="D205" t="s">
        <v>455</v>
      </c>
      <c r="E205" t="s">
        <v>314</v>
      </c>
      <c r="F205" t="s">
        <v>316</v>
      </c>
      <c r="G205">
        <v>1991</v>
      </c>
      <c r="H205">
        <v>1992</v>
      </c>
      <c r="J205">
        <v>2</v>
      </c>
      <c r="K205">
        <f>350*2</f>
        <v>700</v>
      </c>
      <c r="T205">
        <v>74</v>
      </c>
      <c r="W205">
        <v>105</v>
      </c>
      <c r="X205" s="4">
        <f>IF(AND(T205&gt;0,W205&gt;0),(W205/((T205+U205)*10)),"")</f>
        <v>0.14189189189189189</v>
      </c>
      <c r="Y205">
        <v>75</v>
      </c>
      <c r="AA205">
        <v>22.91</v>
      </c>
      <c r="AB205">
        <v>22.9</v>
      </c>
      <c r="AC205">
        <v>2.8</v>
      </c>
      <c r="AD205">
        <v>3.8</v>
      </c>
      <c r="AE205" s="11">
        <v>93</v>
      </c>
      <c r="AF205" t="str">
        <f>CONCATENATE(VLOOKUP(AG205, 'Voxel Sizes'!$A$2:$B$18,2,FALSE),"x",INT(AC205*15), "x", INT(AD205*15))</f>
        <v>214x42x57</v>
      </c>
      <c r="AG205">
        <f>ROUND(15*((AB205*10)/256),0)</f>
        <v>13</v>
      </c>
      <c r="AI205" t="str">
        <f>CONCATENATE(VLOOKUP(AG205,Constants!$A$2:$C$16,IF(AH205&lt;&gt;"", 3, 2), FALSE),IF(AH205&lt;&gt;"",CONCATENATE(",",VLOOKUP(AH205,$B:$AI,34,FALSE)),""))</f>
        <v>4,5,4</v>
      </c>
      <c r="AK205" t="s">
        <v>693</v>
      </c>
      <c r="AM205" t="s">
        <v>519</v>
      </c>
      <c r="AP205">
        <v>42</v>
      </c>
      <c r="AQ205" t="str">
        <f>IF(I205&lt;&gt;"",MAX(8,(I205-G205)-4),"")</f>
        <v/>
      </c>
      <c r="AT205">
        <f>MIN(Y205/150, 1)*30</f>
        <v>15</v>
      </c>
      <c r="AU205">
        <f>MIN(K205/4000, 1)*20</f>
        <v>3.5</v>
      </c>
      <c r="AV205">
        <f>MIN(W205/400,1)*20</f>
        <v>5.25</v>
      </c>
      <c r="AW205" s="4">
        <v>1</v>
      </c>
      <c r="AX205">
        <f>((MAX($J205,1)*MIN($AE205/300,1)))*IF(D205="Wagon",50,10)</f>
        <v>6.2</v>
      </c>
      <c r="AY205">
        <f>VLOOKUP($E205,Constants!$I:$K, 2, FALSE)</f>
        <v>1</v>
      </c>
      <c r="AZ205">
        <f>VLOOKUP($E205,Constants!$I:$K, 3, FALSE)*IF(AND(D205="multiple_unit",Y205&lt;110),0.75,1)</f>
        <v>1.5</v>
      </c>
      <c r="BA205">
        <f>INT(POWER(((Constants!$G$2+$AT205+$AU205+$AV205+$AX205)*$AW205)*$AZ205, 1.05))+$AS205</f>
        <v>63</v>
      </c>
      <c r="BB205">
        <f>INT(((Constants!$G$1+$AT205+$AU205+$AV205+$AX205)*(1/$AW205))*$AY205)+$AR205</f>
        <v>64</v>
      </c>
      <c r="BK205" t="s">
        <v>325</v>
      </c>
      <c r="BL205" t="str">
        <f>VLOOKUP(G205,Eras!$A$2:$C$10, 2, TRUE)</f>
        <v>lbr</v>
      </c>
      <c r="BM205" t="s">
        <v>373</v>
      </c>
      <c r="BN205" t="str">
        <f>CONCATENATE(BL205,"_",BM205)</f>
        <v>lbr_DMU</v>
      </c>
      <c r="BO205" t="str">
        <f t="shared" si="12"/>
        <v/>
      </c>
      <c r="BP205" t="str">
        <f t="shared" si="13"/>
        <v>{BLACK}Cars: {GOLD}2{}</v>
      </c>
      <c r="BQ205" t="s">
        <v>694</v>
      </c>
      <c r="BR205" t="str">
        <f t="shared" si="14"/>
        <v/>
      </c>
      <c r="BS205" t="str">
        <f t="shared" si="15"/>
        <v>{BLACK}Cars: {GOLD}2{}{SILVER}The Class 165 is a high capacity DMU with 2+3 seating.</v>
      </c>
    </row>
    <row r="206" spans="1:71" x14ac:dyDescent="0.25">
      <c r="A206" t="s">
        <v>86</v>
      </c>
      <c r="B206" t="s">
        <v>283</v>
      </c>
      <c r="C206">
        <v>472</v>
      </c>
      <c r="D206" t="s">
        <v>455</v>
      </c>
      <c r="E206" t="s">
        <v>338</v>
      </c>
      <c r="F206" t="s">
        <v>345</v>
      </c>
      <c r="G206">
        <v>1992</v>
      </c>
      <c r="H206">
        <v>1994</v>
      </c>
      <c r="J206">
        <v>4</v>
      </c>
      <c r="K206">
        <v>1608</v>
      </c>
      <c r="T206">
        <v>136</v>
      </c>
      <c r="W206">
        <v>165</v>
      </c>
      <c r="X206" s="4">
        <f>IF(AND(T206&gt;0,W206&gt;0),(W206/((T206+U206)*10)),"")</f>
        <v>0.12132352941176471</v>
      </c>
      <c r="Y206">
        <v>75</v>
      </c>
      <c r="AA206">
        <v>20.89</v>
      </c>
      <c r="AB206">
        <v>20.89</v>
      </c>
      <c r="AD206">
        <v>3.77</v>
      </c>
      <c r="AE206" s="11">
        <v>81</v>
      </c>
      <c r="AF206" t="str">
        <f>CONCATENATE(VLOOKUP(AG206, 'Voxel Sizes'!$A$2:$B$18,2,FALSE),"x",INT(AC206*15), "x", INT(AD206*15))</f>
        <v>198x0x56</v>
      </c>
      <c r="AG206">
        <f>ROUND(15*((AB206*10)/256),0)</f>
        <v>12</v>
      </c>
      <c r="AI206" t="str">
        <f>CONCATENATE(VLOOKUP(AG206,Constants!$A$2:$C$16,IF(AH206&lt;&gt;"", 3, 2), FALSE),IF(AH206&lt;&gt;"",CONCATENATE(",",VLOOKUP(AH206,$B:$AI,34,FALSE)),""))</f>
        <v>4,4,4</v>
      </c>
      <c r="AK206" t="s">
        <v>629</v>
      </c>
      <c r="AM206" t="s">
        <v>517</v>
      </c>
      <c r="AP206">
        <v>42</v>
      </c>
      <c r="AQ206" t="str">
        <f>IF(I206&lt;&gt;"",MAX(8,(I206-G206)-4),"")</f>
        <v/>
      </c>
      <c r="AT206">
        <f>MIN(Y206/150, 1)*30</f>
        <v>15</v>
      </c>
      <c r="AU206">
        <f>MIN(K206/4000, 1)*20</f>
        <v>8.0400000000000009</v>
      </c>
      <c r="AV206">
        <f>MIN(W206/400,1)*20</f>
        <v>8.25</v>
      </c>
      <c r="AW206" s="4">
        <v>1</v>
      </c>
      <c r="AX206">
        <f>((MAX($J206,1)*MIN($AE206/300,1)))*IF(D206="Wagon",50,10)</f>
        <v>10.8</v>
      </c>
      <c r="AY206">
        <f>VLOOKUP($E206,Constants!$I:$K, 2, FALSE)</f>
        <v>0.85</v>
      </c>
      <c r="AZ206">
        <f>VLOOKUP($E206,Constants!$I:$K, 3, FALSE)*IF(AND(D206="multiple_unit",Y206&lt;110),0.75,1)</f>
        <v>1.7249999999999999</v>
      </c>
      <c r="BA206">
        <f>INT(POWER(((Constants!$G$2+$AT206+$AU206+$AV206+$AX206)*$AW206)*$AZ206, 1.05))+$AS206</f>
        <v>101</v>
      </c>
      <c r="BB206">
        <f>INT(((Constants!$G$1+$AT206+$AU206+$AV206+$AX206)*(1/$AW206))*$AY206)+$AR206</f>
        <v>65</v>
      </c>
      <c r="BK206" t="s">
        <v>325</v>
      </c>
      <c r="BL206" t="str">
        <f>VLOOKUP(G206,Eras!$A$2:$C$10, 2, TRUE)</f>
        <v>lbr</v>
      </c>
      <c r="BM206" t="s">
        <v>375</v>
      </c>
      <c r="BN206" t="str">
        <f>CONCATENATE(BL206,"_",BM206)</f>
        <v>lbr_EMU</v>
      </c>
      <c r="BO206" t="str">
        <f t="shared" si="12"/>
        <v/>
      </c>
      <c r="BP206" t="str">
        <f t="shared" si="13"/>
        <v>{BLACK}Cars: {GOLD}4{}</v>
      </c>
      <c r="BQ206" t="s">
        <v>630</v>
      </c>
      <c r="BR206" t="str">
        <f t="shared" si="14"/>
        <v/>
      </c>
      <c r="BS206" t="str">
        <f t="shared" si="15"/>
        <v>{BLACK}Cars: {GOLD}4{}{SILVER}The BREL Networker was built by three different companies (ABB, Metro-Cammell and BREL) with minor detail differences between each manufacturer's output.</v>
      </c>
    </row>
    <row r="207" spans="1:71" x14ac:dyDescent="0.25">
      <c r="A207" t="s">
        <v>702</v>
      </c>
      <c r="B207" t="s">
        <v>703</v>
      </c>
      <c r="C207">
        <v>474</v>
      </c>
      <c r="D207" t="s">
        <v>455</v>
      </c>
      <c r="E207" t="s">
        <v>607</v>
      </c>
      <c r="F207" t="s">
        <v>606</v>
      </c>
      <c r="G207">
        <v>1992</v>
      </c>
      <c r="H207">
        <v>1996</v>
      </c>
      <c r="J207">
        <v>20</v>
      </c>
      <c r="K207">
        <v>16400</v>
      </c>
      <c r="L207" s="9">
        <v>4600</v>
      </c>
      <c r="T207">
        <v>752</v>
      </c>
      <c r="W207">
        <v>220</v>
      </c>
      <c r="X207" s="4">
        <f>IF(AND(T207&gt;0,W207&gt;0),(W207/((T207+U207)*10)),"")</f>
        <v>2.9255319148936171E-2</v>
      </c>
      <c r="Y207">
        <v>186</v>
      </c>
      <c r="AA207">
        <v>22.15</v>
      </c>
      <c r="AB207">
        <v>22.15</v>
      </c>
      <c r="AC207">
        <v>2.81</v>
      </c>
      <c r="AE207" s="11">
        <v>39</v>
      </c>
      <c r="AF207" t="str">
        <f>CONCATENATE(VLOOKUP(AG207, 'Voxel Sizes'!$A$2:$B$18,2,FALSE),"x",INT(AC207*15), "x", INT(AD207*15))</f>
        <v>214x42x0</v>
      </c>
      <c r="AG207">
        <f>ROUND(15*((AB207*10)/256),0)</f>
        <v>13</v>
      </c>
      <c r="AI207" t="str">
        <f>CONCATENATE(VLOOKUP(AG207,Constants!$A$2:$C$16,IF(AH207&lt;&gt;"", 3, 2), FALSE),IF(AH207&lt;&gt;"",CONCATENATE(",",VLOOKUP(AH207,$B:$AI,34,FALSE)),""))</f>
        <v>4,5,4</v>
      </c>
      <c r="AJ207" s="13" t="s">
        <v>755</v>
      </c>
      <c r="AK207" t="s">
        <v>753</v>
      </c>
      <c r="AL207" t="s">
        <v>703</v>
      </c>
      <c r="AM207" t="s">
        <v>754</v>
      </c>
      <c r="AP207">
        <v>35</v>
      </c>
      <c r="AQ207" t="str">
        <f>IF(I207&lt;&gt;"",MAX(8,(I207-G207)-4),"")</f>
        <v/>
      </c>
      <c r="AS207">
        <v>-35</v>
      </c>
      <c r="AT207">
        <f>MIN(Y207/150, 1)*30</f>
        <v>30</v>
      </c>
      <c r="AU207">
        <f>MIN(K207/4000, 1)*20</f>
        <v>20</v>
      </c>
      <c r="AV207">
        <f>MIN(W207/400,1)*20</f>
        <v>11</v>
      </c>
      <c r="AW207" s="4">
        <v>1</v>
      </c>
      <c r="AX207">
        <f>((MAX($J207,1)*MIN($AE207/300,1)))*IF(D207="Wagon",50,10)</f>
        <v>26</v>
      </c>
      <c r="AY207">
        <f>VLOOKUP($E207,Constants!$I:$K, 2, FALSE)</f>
        <v>0.85</v>
      </c>
      <c r="AZ207">
        <f>VLOOKUP($E207,Constants!$I:$K, 3, FALSE)*IF(AND(D207="multiple_unit",Y207&lt;110),0.75,1)</f>
        <v>2.4</v>
      </c>
      <c r="BA207">
        <f>INT(POWER(((Constants!$G$2+$AT207+$AU207+$AV207+$AX207)*$AW207)*$AZ207, 1.05))+$AS207</f>
        <v>254</v>
      </c>
      <c r="BB207">
        <f>INT(((Constants!$G$1+$AT207+$AU207+$AV207+$AX207)*(1/$AW207))*$AY207)+$AR207</f>
        <v>103</v>
      </c>
      <c r="BI207" t="s">
        <v>1222</v>
      </c>
      <c r="BK207" t="s">
        <v>325</v>
      </c>
      <c r="BL207" t="str">
        <f>VLOOKUP(G207,Eras!$A$2:$C$10, 2, TRUE)</f>
        <v>lbr</v>
      </c>
      <c r="BM207" t="s">
        <v>376</v>
      </c>
      <c r="BN207" t="str">
        <f>CONCATENATE(BL207,"_",BM207)</f>
        <v>lbr_EMU (Express)</v>
      </c>
      <c r="BO207" t="str">
        <f t="shared" si="12"/>
        <v/>
      </c>
      <c r="BP207" t="str">
        <f t="shared" si="13"/>
        <v>{BLACK}Cars: {GOLD}20{}</v>
      </c>
      <c r="BQ207" t="s">
        <v>756</v>
      </c>
      <c r="BR207" t="str">
        <f t="shared" si="14"/>
        <v/>
      </c>
      <c r="BS207" t="str">
        <f t="shared" si="15"/>
        <v>{BLACK}Cars: {GOLD}20{}{SILVER}The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8" spans="1:71" x14ac:dyDescent="0.25">
      <c r="A208" t="s">
        <v>702</v>
      </c>
      <c r="B208" t="s">
        <v>1195</v>
      </c>
      <c r="C208">
        <v>475</v>
      </c>
      <c r="D208" t="s">
        <v>455</v>
      </c>
      <c r="E208" t="s">
        <v>607</v>
      </c>
      <c r="F208" t="s">
        <v>606</v>
      </c>
      <c r="G208">
        <v>1992</v>
      </c>
      <c r="H208">
        <v>1996</v>
      </c>
      <c r="J208">
        <v>8</v>
      </c>
      <c r="K208">
        <v>16400</v>
      </c>
      <c r="L208" s="9">
        <v>4600</v>
      </c>
      <c r="T208">
        <f>(752/20)*8</f>
        <v>300.8</v>
      </c>
      <c r="W208">
        <v>220</v>
      </c>
      <c r="X208" s="4">
        <f>IF(AND(T208&gt;0,W208&gt;0),(W208/((T208+U208)*10)),"")</f>
        <v>7.3138297872340427E-2</v>
      </c>
      <c r="Y208">
        <v>186</v>
      </c>
      <c r="AA208">
        <v>22.15</v>
      </c>
      <c r="AB208">
        <v>22.15</v>
      </c>
      <c r="AC208">
        <v>2.81</v>
      </c>
      <c r="AE208" s="11">
        <v>39</v>
      </c>
      <c r="AF208" t="str">
        <f>CONCATENATE(VLOOKUP(AG208, 'Voxel Sizes'!$A$2:$B$18,2,FALSE),"x",INT(AC208*15), "x", INT(AD208*15))</f>
        <v>214x42x0</v>
      </c>
      <c r="AG208">
        <f>ROUND(15*((AB208*10)/256),0)</f>
        <v>13</v>
      </c>
      <c r="AI208" t="str">
        <f>CONCATENATE(VLOOKUP(AG208,Constants!$A$2:$C$16,IF(AH208&lt;&gt;"", 3, 2), FALSE),IF(AH208&lt;&gt;"",CONCATENATE(",",VLOOKUP(AH208,$B:$AI,34,FALSE)),""))</f>
        <v>4,5,4</v>
      </c>
      <c r="AJ208" s="13" t="s">
        <v>760</v>
      </c>
      <c r="AK208" t="s">
        <v>758</v>
      </c>
      <c r="AL208" t="s">
        <v>703</v>
      </c>
      <c r="AM208" t="s">
        <v>759</v>
      </c>
      <c r="AN208" t="s">
        <v>703</v>
      </c>
      <c r="AP208">
        <v>35</v>
      </c>
      <c r="AQ208" t="str">
        <f>IF(I208&lt;&gt;"",MAX(8,(I208-G208)-4),"")</f>
        <v/>
      </c>
      <c r="AT208">
        <f>MIN(Y208/150, 1)*30</f>
        <v>30</v>
      </c>
      <c r="AU208">
        <f>MIN(K208/4000, 1)*20</f>
        <v>20</v>
      </c>
      <c r="AV208">
        <f>MIN(W208/400,1)*20</f>
        <v>11</v>
      </c>
      <c r="AW208" s="4">
        <v>1</v>
      </c>
      <c r="AX208">
        <f>((MAX($J208,1)*MIN($AE208/300,1)))*IF(D208="Wagon",50,10)</f>
        <v>10.4</v>
      </c>
      <c r="AY208">
        <f>VLOOKUP($E208,Constants!$I:$K, 2, FALSE)</f>
        <v>0.85</v>
      </c>
      <c r="AZ208">
        <f>VLOOKUP($E208,Constants!$I:$K, 3, FALSE)*IF(AND(D208="multiple_unit",Y208&lt;110),0.75,1)</f>
        <v>2.4</v>
      </c>
      <c r="BA208">
        <f>INT(POWER(((Constants!$G$2+$AT208+$AU208+$AV208+$AX208)*$AW208)*$AZ208, 1.05))+$AS208</f>
        <v>237</v>
      </c>
      <c r="BB208">
        <f>INT(((Constants!$G$1+$AT208+$AU208+$AV208+$AX208)*(1/$AW208))*$AY208)+$AR208</f>
        <v>90</v>
      </c>
      <c r="BI208" t="s">
        <v>1221</v>
      </c>
      <c r="BK208" t="s">
        <v>325</v>
      </c>
      <c r="BL208" t="str">
        <f>VLOOKUP(G208,Eras!$A$2:$C$10, 2, TRUE)</f>
        <v>lbr</v>
      </c>
      <c r="BM208" t="s">
        <v>376</v>
      </c>
      <c r="BN208" t="str">
        <f>CONCATENATE(BL208,"_",BM208)</f>
        <v>lbr_EMU (Express)</v>
      </c>
      <c r="BO208" t="str">
        <f t="shared" si="12"/>
        <v/>
      </c>
      <c r="BP208" t="str">
        <f t="shared" si="13"/>
        <v>{BLACK}Cars: {GOLD}8{}</v>
      </c>
      <c r="BQ208" t="s">
        <v>756</v>
      </c>
      <c r="BR208" t="str">
        <f t="shared" si="14"/>
        <v/>
      </c>
      <c r="BS208" t="str">
        <f t="shared" si="15"/>
        <v>{BLACK}Cars: {GOLD}8{}{SILVER}The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09" spans="1:71" x14ac:dyDescent="0.25">
      <c r="A209" t="s">
        <v>702</v>
      </c>
      <c r="B209" t="s">
        <v>1196</v>
      </c>
      <c r="C209">
        <v>476</v>
      </c>
      <c r="D209" t="s">
        <v>455</v>
      </c>
      <c r="E209" t="s">
        <v>607</v>
      </c>
      <c r="F209" t="s">
        <v>606</v>
      </c>
      <c r="G209">
        <v>1992</v>
      </c>
      <c r="H209">
        <v>1996</v>
      </c>
      <c r="J209">
        <v>5</v>
      </c>
      <c r="K209">
        <v>16400</v>
      </c>
      <c r="L209" s="9">
        <v>4600</v>
      </c>
      <c r="T209">
        <f>(752/20)*5</f>
        <v>188</v>
      </c>
      <c r="W209">
        <v>220</v>
      </c>
      <c r="X209" s="4">
        <f>IF(AND(T209&gt;0,W209&gt;0),(W209/((T209+U209)*10)),"")</f>
        <v>0.11702127659574468</v>
      </c>
      <c r="Y209">
        <v>186</v>
      </c>
      <c r="AA209">
        <v>22.15</v>
      </c>
      <c r="AB209">
        <v>22.15</v>
      </c>
      <c r="AC209">
        <v>2.81</v>
      </c>
      <c r="AE209" s="11">
        <v>39</v>
      </c>
      <c r="AF209" t="str">
        <f>CONCATENATE(VLOOKUP(AG209, 'Voxel Sizes'!$A$2:$B$18,2,FALSE),"x",INT(AC209*15), "x", INT(AD209*15))</f>
        <v>214x42x0</v>
      </c>
      <c r="AG209">
        <f>ROUND(15*((AB209*10)/256),0)</f>
        <v>13</v>
      </c>
      <c r="AI209" t="str">
        <f>CONCATENATE(VLOOKUP(AG209,Constants!$A$2:$C$16,IF(AH209&lt;&gt;"", 3, 2), FALSE),IF(AH209&lt;&gt;"",CONCATENATE(",",VLOOKUP(AH209,$B:$AI,34,FALSE)),""))</f>
        <v>4,5,4</v>
      </c>
      <c r="AJ209" s="13" t="s">
        <v>1203</v>
      </c>
      <c r="AK209" t="s">
        <v>1202</v>
      </c>
      <c r="AL209" t="s">
        <v>703</v>
      </c>
      <c r="AM209" t="s">
        <v>722</v>
      </c>
      <c r="AN209" t="s">
        <v>703</v>
      </c>
      <c r="AP209">
        <v>35</v>
      </c>
      <c r="AQ209" t="str">
        <f>IF(I209&lt;&gt;"",MAX(8,(I209-G209)-4),"")</f>
        <v/>
      </c>
      <c r="AT209">
        <f>MIN(Y209/150, 1)*30</f>
        <v>30</v>
      </c>
      <c r="AU209">
        <f>MIN(K209/4000, 1)*20</f>
        <v>20</v>
      </c>
      <c r="AV209">
        <f>MIN(W209/400,1)*20</f>
        <v>11</v>
      </c>
      <c r="AW209" s="4">
        <v>1</v>
      </c>
      <c r="AX209">
        <f>((MAX($J209,1)*MIN($AE209/300,1)))*IF(D209="Wagon",50,10)</f>
        <v>6.5</v>
      </c>
      <c r="AY209">
        <f>VLOOKUP($E209,Constants!$I:$K, 2, FALSE)</f>
        <v>0.85</v>
      </c>
      <c r="AZ209">
        <f>VLOOKUP($E209,Constants!$I:$K, 3, FALSE)*IF(AND(D209="multiple_unit",Y209&lt;110),0.75,1)</f>
        <v>2.4</v>
      </c>
      <c r="BA209">
        <f>INT(POWER(((Constants!$G$2+$AT209+$AU209+$AV209+$AX209)*$AW209)*$AZ209, 1.05))+$AS209</f>
        <v>225</v>
      </c>
      <c r="BB209">
        <f>INT(((Constants!$G$1+$AT209+$AU209+$AV209+$AX209)*(1/$AW209))*$AY209)+$AR209</f>
        <v>87</v>
      </c>
      <c r="BI209" t="s">
        <v>1220</v>
      </c>
      <c r="BK209" t="s">
        <v>325</v>
      </c>
      <c r="BL209" t="str">
        <f>VLOOKUP(G209,Eras!$A$2:$C$10, 2, TRUE)</f>
        <v>lbr</v>
      </c>
      <c r="BM209" t="s">
        <v>376</v>
      </c>
      <c r="BN209" t="str">
        <f>CONCATENATE(BL209,"_",BM209)</f>
        <v>lbr_EMU (Express)</v>
      </c>
      <c r="BO209" t="str">
        <f t="shared" si="12"/>
        <v/>
      </c>
      <c r="BP209" t="str">
        <f t="shared" si="13"/>
        <v>{BLACK}Cars: {GOLD}5{}</v>
      </c>
      <c r="BQ209" t="s">
        <v>756</v>
      </c>
      <c r="BR209" t="str">
        <f t="shared" si="14"/>
        <v/>
      </c>
      <c r="BS209" t="str">
        <f t="shared" si="15"/>
        <v>{BLACK}Cars: {GOLD}5{}{SILVER}The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0" spans="1:71" x14ac:dyDescent="0.25">
      <c r="A210" t="s">
        <v>103</v>
      </c>
      <c r="B210" t="s">
        <v>221</v>
      </c>
      <c r="C210">
        <v>480</v>
      </c>
      <c r="D210" t="s">
        <v>455</v>
      </c>
      <c r="E210" t="s">
        <v>607</v>
      </c>
      <c r="F210" t="s">
        <v>606</v>
      </c>
      <c r="G210">
        <v>1995</v>
      </c>
      <c r="J210">
        <v>4</v>
      </c>
      <c r="K210">
        <v>1328</v>
      </c>
      <c r="T210">
        <v>138.5</v>
      </c>
      <c r="W210">
        <v>160</v>
      </c>
      <c r="X210" s="4">
        <f>IF(AND(T210&gt;0,W210&gt;0),(W210/((T210+U210)*10)),"")</f>
        <v>0.11552346570397112</v>
      </c>
      <c r="Y210">
        <v>100</v>
      </c>
      <c r="AA210">
        <v>19.829999999999998</v>
      </c>
      <c r="AB210">
        <v>19.8</v>
      </c>
      <c r="AC210">
        <v>2.8</v>
      </c>
      <c r="AD210">
        <v>3.8</v>
      </c>
      <c r="AE210" s="11">
        <v>78</v>
      </c>
      <c r="AF210" t="str">
        <f>CONCATENATE(VLOOKUP(AG210, 'Voxel Sizes'!$A$2:$B$18,2,FALSE),"x",INT(AC210*15), "x", INT(AD210*15))</f>
        <v>198x42x57</v>
      </c>
      <c r="AG210">
        <f>ROUND(15*((AB210*10)/256),0)</f>
        <v>12</v>
      </c>
      <c r="AI210" t="str">
        <f>CONCATENATE(VLOOKUP(AG210,Constants!$A$2:$C$16,IF(AH210&lt;&gt;"", 3, 2), FALSE),IF(AH210&lt;&gt;"",CONCATENATE(",",VLOOKUP(AH210,$B:$AI,34,FALSE)),""))</f>
        <v>4,4,4</v>
      </c>
      <c r="AK210" t="s">
        <v>709</v>
      </c>
      <c r="AL210" t="s">
        <v>712</v>
      </c>
      <c r="AM210" t="s">
        <v>610</v>
      </c>
      <c r="AP210">
        <v>40</v>
      </c>
      <c r="AQ210" t="str">
        <f>IF(I210&lt;&gt;"",MAX(8,(I210-G210)-4),"")</f>
        <v/>
      </c>
      <c r="AT210">
        <f>MIN(Y210/150, 1)*30</f>
        <v>20</v>
      </c>
      <c r="AU210">
        <f>MIN(K210/4000, 1)*20</f>
        <v>6.6400000000000006</v>
      </c>
      <c r="AV210">
        <f>MIN(W210/400,1)*20</f>
        <v>8</v>
      </c>
      <c r="AW210" s="4">
        <v>1</v>
      </c>
      <c r="AX210">
        <f>((MAX($J210,1)*MIN($AE210/300,1)))*IF(D210="Wagon",50,10)</f>
        <v>10.4</v>
      </c>
      <c r="AY210">
        <f>VLOOKUP($E210,Constants!$I:$K, 2, FALSE)</f>
        <v>0.85</v>
      </c>
      <c r="AZ210">
        <f>VLOOKUP($E210,Constants!$I:$K, 3, FALSE)*IF(AND(D210="multiple_unit",Y210&lt;110),0.75,1)</f>
        <v>1.7999999999999998</v>
      </c>
      <c r="BA210">
        <f>INT(POWER(((Constants!$G$2+$AT210+$AU210+$AV210+$AX210)*$AW210)*$AZ210, 1.05))+$AS210</f>
        <v>112</v>
      </c>
      <c r="BB210">
        <f>INT(((Constants!$G$1+$AT210+$AU210+$AV210+$AX210)*(1/$AW210))*$AY210)+$AR210</f>
        <v>68</v>
      </c>
      <c r="BK210" t="s">
        <v>710</v>
      </c>
      <c r="BL210" t="str">
        <f>VLOOKUP(G210,Eras!$A$2:$C$10, 2, TRUE)</f>
        <v>prv</v>
      </c>
      <c r="BM210" t="s">
        <v>374</v>
      </c>
      <c r="BN210" t="str">
        <f>CONCATENATE(BL210,"_",BM210)</f>
        <v>prv_DMU (Express)</v>
      </c>
      <c r="BO210" t="str">
        <f t="shared" si="12"/>
        <v/>
      </c>
      <c r="BP210" t="str">
        <f t="shared" si="13"/>
        <v>{BLACK}Cars: {GOLD}4{}</v>
      </c>
      <c r="BQ210" t="s">
        <v>711</v>
      </c>
      <c r="BR210" t="str">
        <f t="shared" si="14"/>
        <v/>
      </c>
      <c r="BS210" t="str">
        <f t="shared" si="15"/>
        <v>{BLACK}Cars: {GOLD}4{}{SILVER}The Class 325 is a multiple unit designed for carrying mail and parcels more economically than a locomotive-hauled train. It is based on Class 319 hardware.</v>
      </c>
    </row>
    <row r="211" spans="1:71" x14ac:dyDescent="0.25">
      <c r="A211" t="s">
        <v>91</v>
      </c>
      <c r="B211" t="s">
        <v>647</v>
      </c>
      <c r="C211">
        <v>482</v>
      </c>
      <c r="D211" t="s">
        <v>455</v>
      </c>
      <c r="E211" t="s">
        <v>314</v>
      </c>
      <c r="F211" t="s">
        <v>316</v>
      </c>
      <c r="G211">
        <v>1998</v>
      </c>
      <c r="H211">
        <v>2005</v>
      </c>
      <c r="J211">
        <v>3</v>
      </c>
      <c r="K211">
        <v>1266</v>
      </c>
      <c r="T211">
        <v>135</v>
      </c>
      <c r="W211">
        <v>180</v>
      </c>
      <c r="X211" s="4">
        <f>IF(AND(T211&gt;0,W211&gt;0),(W211/((T211+U211)*10)),"")</f>
        <v>0.13333333333333333</v>
      </c>
      <c r="Y211">
        <v>100</v>
      </c>
      <c r="AA211">
        <v>23.62</v>
      </c>
      <c r="AB211">
        <v>21</v>
      </c>
      <c r="AC211">
        <v>2.69</v>
      </c>
      <c r="AD211">
        <v>3.77</v>
      </c>
      <c r="AE211" s="11">
        <v>63</v>
      </c>
      <c r="AF211" t="str">
        <f>CONCATENATE(VLOOKUP(AG211, 'Voxel Sizes'!$A$2:$B$18,2,FALSE),"x",INT(AC211*15), "x", INT(AD211*15))</f>
        <v>198x40x56</v>
      </c>
      <c r="AG211">
        <f>ROUND(15*((AB211*10)/256),0)</f>
        <v>12</v>
      </c>
      <c r="AI211" t="str">
        <f>CONCATENATE(VLOOKUP(AG211,Constants!$A$2:$C$16,IF(AH211&lt;&gt;"", 3, 2), FALSE),IF(AH211&lt;&gt;"",CONCATENATE(",",VLOOKUP(AH211,$B:$AI,34,FALSE)),""))</f>
        <v>4,4,4</v>
      </c>
      <c r="AK211" t="s">
        <v>646</v>
      </c>
      <c r="AM211" t="s">
        <v>334</v>
      </c>
      <c r="AP211">
        <v>39</v>
      </c>
      <c r="AQ211" t="str">
        <f>IF(I211&lt;&gt;"",MAX(8,(I211-G211)-4),"")</f>
        <v/>
      </c>
      <c r="AT211">
        <f>MIN(Y211/150, 1)*30</f>
        <v>20</v>
      </c>
      <c r="AU211">
        <f>MIN(K211/4000, 1)*20</f>
        <v>6.33</v>
      </c>
      <c r="AV211">
        <f>MIN(W211/400,1)*20</f>
        <v>9</v>
      </c>
      <c r="AW211" s="4">
        <v>1</v>
      </c>
      <c r="AX211">
        <f>((MAX($J211,1)*MIN($AE211/300,1)))*IF(D211="Wagon",50,10)</f>
        <v>6.3</v>
      </c>
      <c r="AY211">
        <f>VLOOKUP($E211,Constants!$I:$K, 2, FALSE)</f>
        <v>1</v>
      </c>
      <c r="AZ211">
        <f>VLOOKUP($E211,Constants!$I:$K, 3, FALSE)*IF(AND(D211="multiple_unit",Y211&lt;110),0.75,1)</f>
        <v>1.5</v>
      </c>
      <c r="BA211">
        <f>INT(POWER(((Constants!$G$2+$AT211+$AU211+$AV211+$AX211)*$AW211)*$AZ211, 1.05))+$AS211</f>
        <v>86</v>
      </c>
      <c r="BB211">
        <f>INT(((Constants!$G$1+$AT211+$AU211+$AV211+$AX211)*(1/$AW211))*$AY211)+$AR211</f>
        <v>76</v>
      </c>
      <c r="BG211" t="s">
        <v>1187</v>
      </c>
      <c r="BK211" t="s">
        <v>325</v>
      </c>
      <c r="BL211" t="str">
        <f>VLOOKUP(G211,Eras!$A$2:$C$10, 2, TRUE)</f>
        <v>prv</v>
      </c>
      <c r="BM211" t="s">
        <v>373</v>
      </c>
      <c r="BN211" t="str">
        <f>CONCATENATE(BL211,"_",BM211)</f>
        <v>prv_DMU</v>
      </c>
      <c r="BO211" t="str">
        <f t="shared" si="12"/>
        <v/>
      </c>
      <c r="BP211" t="str">
        <f t="shared" si="13"/>
        <v>{BLACK}Cars: {GOLD}3{}</v>
      </c>
      <c r="BQ211" t="s">
        <v>645</v>
      </c>
      <c r="BR211" t="str">
        <f t="shared" si="14"/>
        <v/>
      </c>
      <c r="BS211" t="str">
        <f t="shared" si="15"/>
        <v>{BLACK}Cars: {GOLD}3{}{SILVER}The Turbostar is a further development of the BR "Networker" units. It is used for regional and long distance services.</v>
      </c>
    </row>
    <row r="212" spans="1:71" x14ac:dyDescent="0.25">
      <c r="A212" t="s">
        <v>632</v>
      </c>
      <c r="B212" t="s">
        <v>637</v>
      </c>
      <c r="C212">
        <v>484</v>
      </c>
      <c r="D212" t="s">
        <v>455</v>
      </c>
      <c r="E212" t="s">
        <v>338</v>
      </c>
      <c r="F212" t="s">
        <v>345</v>
      </c>
      <c r="G212">
        <v>2000</v>
      </c>
      <c r="H212">
        <v>2001</v>
      </c>
      <c r="I212">
        <v>2012</v>
      </c>
      <c r="J212">
        <v>8</v>
      </c>
      <c r="K212">
        <v>3620</v>
      </c>
      <c r="T212">
        <v>319</v>
      </c>
      <c r="W212">
        <v>240</v>
      </c>
      <c r="X212" s="4">
        <f>IF(AND(T212&gt;0,W212&gt;0),(W212/((T212+U212)*10)),"")</f>
        <v>7.5235109717868343E-2</v>
      </c>
      <c r="Y212">
        <v>100</v>
      </c>
      <c r="AB212">
        <v>21</v>
      </c>
      <c r="AE212" s="11">
        <f>23*3</f>
        <v>69</v>
      </c>
      <c r="AF212" t="str">
        <f>CONCATENATE(VLOOKUP(AG212, 'Voxel Sizes'!$A$2:$B$18,2,FALSE),"x",INT(AC212*15), "x", INT(AD212*15))</f>
        <v>198x0x0</v>
      </c>
      <c r="AG212">
        <f>ROUND(15*((AB212*10)/256),0)</f>
        <v>12</v>
      </c>
      <c r="AI212" t="str">
        <f>CONCATENATE(VLOOKUP(AG212,Constants!$A$2:$C$16,IF(AH212&lt;&gt;"", 3, 2), FALSE),IF(AH212&lt;&gt;"",CONCATENATE(",",VLOOKUP(AH212,$B:$AI,34,FALSE)),""))</f>
        <v>4,4,4</v>
      </c>
      <c r="AK212" t="s">
        <v>640</v>
      </c>
      <c r="AM212" t="s">
        <v>639</v>
      </c>
      <c r="AP212">
        <v>37</v>
      </c>
      <c r="AQ212">
        <f>IF(I212&lt;&gt;"",MAX(8,(I212-G212)-4),"")</f>
        <v>8</v>
      </c>
      <c r="AT212">
        <f>MIN(Y212/150, 1)*30</f>
        <v>20</v>
      </c>
      <c r="AU212">
        <f>MIN(K212/4000, 1)*20</f>
        <v>18.100000000000001</v>
      </c>
      <c r="AV212">
        <f>MIN(W212/400,1)*20</f>
        <v>12</v>
      </c>
      <c r="AW212" s="4">
        <v>1</v>
      </c>
      <c r="AX212">
        <f>((MAX($J212,1)*MIN($AE212/300,1)))*IF(D212="Wagon",50,10)</f>
        <v>18.400000000000002</v>
      </c>
      <c r="AY212">
        <f>VLOOKUP($E212,Constants!$I:$K, 2, FALSE)</f>
        <v>0.85</v>
      </c>
      <c r="AZ212">
        <f>VLOOKUP($E212,Constants!$I:$K, 3, FALSE)*IF(AND(D212="multiple_unit",Y212&lt;110),0.75,1)</f>
        <v>1.7249999999999999</v>
      </c>
      <c r="BA212">
        <f>INT(POWER(((Constants!$G$2+$AT212+$AU212+$AV212+$AX212)*$AW212)*$AZ212, 1.05))+$AS212</f>
        <v>161</v>
      </c>
      <c r="BB212">
        <f>INT(((Constants!$G$1+$AT212+$AU212+$AV212+$AX212)*(1/$AW212))*$AY212)+$AR212</f>
        <v>87</v>
      </c>
      <c r="BI212" t="s">
        <v>1218</v>
      </c>
      <c r="BK212" t="s">
        <v>325</v>
      </c>
      <c r="BL212" t="str">
        <f>VLOOKUP(G212,Eras!$A$2:$C$10, 2, TRUE)</f>
        <v>prv</v>
      </c>
      <c r="BM212" t="s">
        <v>376</v>
      </c>
      <c r="BN212" t="str">
        <f>CONCATENATE(BL212,"_",BM212)</f>
        <v>prv_EMU (Express)</v>
      </c>
      <c r="BO212" t="str">
        <f t="shared" si="12"/>
        <v/>
      </c>
      <c r="BP212" t="str">
        <f t="shared" si="13"/>
        <v>{BLACK}Cars: {GOLD}8{}</v>
      </c>
      <c r="BQ212" t="s">
        <v>638</v>
      </c>
      <c r="BR212" t="str">
        <f t="shared" si="14"/>
        <v/>
      </c>
      <c r="BS212" t="str">
        <f t="shared" si="15"/>
        <v>{BLACK}Cars: {GOLD}8{}{SILVER}The Class 460 was built to replace locomotive-hauled services on the Gatwick Express. It had a short service life, with most units converted to Class 458/5 for suburban use.</v>
      </c>
    </row>
    <row r="213" spans="1:71" x14ac:dyDescent="0.25">
      <c r="A213" t="s">
        <v>632</v>
      </c>
      <c r="B213" t="s">
        <v>1211</v>
      </c>
      <c r="C213">
        <v>485</v>
      </c>
      <c r="D213" t="s">
        <v>455</v>
      </c>
      <c r="E213" t="s">
        <v>338</v>
      </c>
      <c r="F213" t="s">
        <v>345</v>
      </c>
      <c r="G213">
        <v>2000</v>
      </c>
      <c r="H213">
        <v>2001</v>
      </c>
      <c r="I213">
        <v>2012</v>
      </c>
      <c r="J213">
        <v>5</v>
      </c>
      <c r="K213">
        <v>3620</v>
      </c>
      <c r="T213">
        <f>319/8*5</f>
        <v>199.375</v>
      </c>
      <c r="W213">
        <v>240</v>
      </c>
      <c r="X213" s="4">
        <f>IF(AND(T213&gt;0,W213&gt;0),(W213/((T213+U213)*10)),"")</f>
        <v>0.12037617554858934</v>
      </c>
      <c r="Y213">
        <v>100</v>
      </c>
      <c r="AB213">
        <v>21</v>
      </c>
      <c r="AE213" s="11">
        <f>23*3</f>
        <v>69</v>
      </c>
      <c r="AF213" t="str">
        <f>CONCATENATE(VLOOKUP(AG213, 'Voxel Sizes'!$A$2:$B$18,2,FALSE),"x",INT(AC213*15), "x", INT(AD213*15))</f>
        <v>198x0x0</v>
      </c>
      <c r="AG213">
        <f>ROUND(15*((AB213*10)/256),0)</f>
        <v>12</v>
      </c>
      <c r="AI213" t="str">
        <f>CONCATENATE(VLOOKUP(AG213,Constants!$A$2:$C$16,IF(AH213&lt;&gt;"", 3, 2), FALSE),IF(AH213&lt;&gt;"",CONCATENATE(",",VLOOKUP(AH213,$B:$AI,34,FALSE)),""))</f>
        <v>4,4,4</v>
      </c>
      <c r="AK213" t="s">
        <v>1212</v>
      </c>
      <c r="AM213" t="s">
        <v>722</v>
      </c>
      <c r="AN213" t="s">
        <v>637</v>
      </c>
      <c r="AP213">
        <v>37</v>
      </c>
      <c r="AQ213">
        <f>IF(I213&lt;&gt;"",MAX(8,(I213-G213)-4),"")</f>
        <v>8</v>
      </c>
      <c r="AT213">
        <f>MIN(Y213/150, 1)*30</f>
        <v>20</v>
      </c>
      <c r="AU213">
        <f>MIN(K213/4000, 1)*20</f>
        <v>18.100000000000001</v>
      </c>
      <c r="AV213">
        <f>MIN(W213/400,1)*20</f>
        <v>12</v>
      </c>
      <c r="AW213" s="4">
        <v>1</v>
      </c>
      <c r="AX213">
        <f>((MAX($J213,1)*MIN($AE213/300,1)))*IF(D213="Wagon",50,10)</f>
        <v>11.500000000000002</v>
      </c>
      <c r="AY213">
        <f>VLOOKUP($E213,Constants!$I:$K, 2, FALSE)</f>
        <v>0.85</v>
      </c>
      <c r="AZ213">
        <f>VLOOKUP($E213,Constants!$I:$K, 3, FALSE)*IF(AND(D213="multiple_unit",Y213&lt;110),0.75,1)</f>
        <v>1.7249999999999999</v>
      </c>
      <c r="BA213">
        <f>INT(POWER(((Constants!$G$2+$AT213+$AU213+$AV213+$AX213)*$AW213)*$AZ213, 1.05))+$AS213</f>
        <v>145</v>
      </c>
      <c r="BB213">
        <f>INT(((Constants!$G$1+$AT213+$AU213+$AV213+$AX213)*(1/$AW213))*$AY213)+$AR213</f>
        <v>82</v>
      </c>
      <c r="BI213" t="s">
        <v>1220</v>
      </c>
      <c r="BK213" t="s">
        <v>325</v>
      </c>
      <c r="BL213" t="str">
        <f>VLOOKUP(G213,Eras!$A$2:$C$10, 2, TRUE)</f>
        <v>prv</v>
      </c>
      <c r="BM213" t="s">
        <v>376</v>
      </c>
      <c r="BN213" t="str">
        <f>CONCATENATE(BL213,"_",BM213)</f>
        <v>prv_EMU (Express)</v>
      </c>
      <c r="BO213" t="str">
        <f t="shared" si="12"/>
        <v/>
      </c>
      <c r="BP213" t="str">
        <f t="shared" si="13"/>
        <v>{BLACK}Cars: {GOLD}5{}</v>
      </c>
      <c r="BQ213" t="s">
        <v>638</v>
      </c>
      <c r="BR213" t="str">
        <f t="shared" si="14"/>
        <v/>
      </c>
      <c r="BS213" t="str">
        <f t="shared" si="15"/>
        <v>{BLACK}Cars: {GOLD}5{}{SILVER}The Class 460 was built to replace locomotive-hauled services on the Gatwick Express. It had a short service life, with most units converted to Class 458/5 for suburban use.</v>
      </c>
    </row>
    <row r="214" spans="1:71" x14ac:dyDescent="0.25">
      <c r="A214" t="s">
        <v>633</v>
      </c>
      <c r="B214" t="s">
        <v>714</v>
      </c>
      <c r="C214">
        <v>488</v>
      </c>
      <c r="D214" t="s">
        <v>455</v>
      </c>
      <c r="E214" t="s">
        <v>338</v>
      </c>
      <c r="F214" t="s">
        <v>339</v>
      </c>
      <c r="G214">
        <v>2002</v>
      </c>
      <c r="J214">
        <v>8</v>
      </c>
      <c r="K214">
        <v>6840</v>
      </c>
      <c r="T214">
        <v>466</v>
      </c>
      <c r="W214">
        <v>325</v>
      </c>
      <c r="X214" s="4">
        <f>IF(AND(T214&gt;0,W214&gt;0),(W214/((T214+U214)*10)),"")</f>
        <v>6.974248927038626E-2</v>
      </c>
      <c r="Y214">
        <v>140</v>
      </c>
      <c r="AA214">
        <v>23.9</v>
      </c>
      <c r="AB214">
        <v>23.9</v>
      </c>
      <c r="AC214">
        <v>2.73</v>
      </c>
      <c r="AD214">
        <v>3.56</v>
      </c>
      <c r="AE214" s="11">
        <v>60</v>
      </c>
      <c r="AF214" t="str">
        <f>CONCATENATE(VLOOKUP(AG214, 'Voxel Sizes'!$A$2:$B$18,2,FALSE),"x",INT(AC214*15), "x", INT(AD214*15))</f>
        <v>238x40x53</v>
      </c>
      <c r="AG214">
        <f>ROUND(15*((AB214*10)/256),0)</f>
        <v>14</v>
      </c>
      <c r="AI214" t="str">
        <f>CONCATENATE(VLOOKUP(AG214,Constants!$A$2:$C$16,IF(AH214&lt;&gt;"", 3, 2), FALSE),IF(AH214&lt;&gt;"",CONCATENATE(",",VLOOKUP(AH214,$B:$AI,34,FALSE)),""))</f>
        <v>4,6,4</v>
      </c>
      <c r="AK214" t="s">
        <v>713</v>
      </c>
      <c r="AM214" t="s">
        <v>716</v>
      </c>
      <c r="AP214">
        <v>39</v>
      </c>
      <c r="AQ214" t="str">
        <f>IF(I214&lt;&gt;"",MAX(8,(I214-G214)-4),"")</f>
        <v/>
      </c>
      <c r="AT214">
        <f>MIN(Y214/150, 1)*30</f>
        <v>28</v>
      </c>
      <c r="AU214">
        <f>MIN(K214/4000, 1)*20</f>
        <v>20</v>
      </c>
      <c r="AV214">
        <f>MIN(W214/400,1)*20</f>
        <v>16.25</v>
      </c>
      <c r="AW214" s="4">
        <v>1</v>
      </c>
      <c r="AX214">
        <f>((MAX($J214,1)*MIN($AE214/300,1)))*IF(D214="Wagon",50,10)</f>
        <v>16</v>
      </c>
      <c r="AY214">
        <f>VLOOKUP($E214,Constants!$I:$K, 2, FALSE)</f>
        <v>0.85</v>
      </c>
      <c r="AZ214">
        <f>VLOOKUP($E214,Constants!$I:$K, 3, FALSE)*IF(AND(D214="multiple_unit",Y214&lt;110),0.75,1)</f>
        <v>2.2999999999999998</v>
      </c>
      <c r="BA214">
        <f>INT(POWER(((Constants!$G$2+$AT214+$AU214+$AV214+$AX214)*$AW214)*$AZ214, 1.05))+$AS214</f>
        <v>255</v>
      </c>
      <c r="BB214">
        <f>INT(((Constants!$G$1+$AT214+$AU214+$AV214+$AX214)*(1/$AW214))*$AY214)+$AR214</f>
        <v>97</v>
      </c>
      <c r="BF214">
        <v>1</v>
      </c>
      <c r="BI214" t="s">
        <v>1222</v>
      </c>
      <c r="BK214" t="s">
        <v>325</v>
      </c>
      <c r="BL214" t="str">
        <f>VLOOKUP(G214,Eras!$A$2:$C$10, 2, TRUE)</f>
        <v>prv</v>
      </c>
      <c r="BM214" t="s">
        <v>376</v>
      </c>
      <c r="BN214" t="str">
        <f>CONCATENATE(BL214,"_",BM214)</f>
        <v>prv_EMU (Express)</v>
      </c>
      <c r="BO214" t="str">
        <f t="shared" si="12"/>
        <v/>
      </c>
      <c r="BP214" t="str">
        <f t="shared" si="13"/>
        <v>{BLACK}Cars: {GOLD}8{}</v>
      </c>
      <c r="BQ214" t="s">
        <v>715</v>
      </c>
      <c r="BR214" t="str">
        <f t="shared" si="14"/>
        <v/>
      </c>
      <c r="BS214" t="str">
        <f t="shared" si="15"/>
        <v>{BLACK}Cars: {GOLD}8{}{SILVER}The Pendolino is a tilting multiple unit with a design speed of 140mph.  The tilt system is supplied by Fiat Ferroviaria.</v>
      </c>
    </row>
    <row r="215" spans="1:71" x14ac:dyDescent="0.25">
      <c r="A215" t="s">
        <v>633</v>
      </c>
      <c r="B215" t="s">
        <v>1199</v>
      </c>
      <c r="C215">
        <v>489</v>
      </c>
      <c r="D215" t="s">
        <v>455</v>
      </c>
      <c r="E215" t="s">
        <v>338</v>
      </c>
      <c r="F215" t="s">
        <v>339</v>
      </c>
      <c r="G215">
        <v>2002</v>
      </c>
      <c r="J215">
        <v>6</v>
      </c>
      <c r="K215">
        <v>6840</v>
      </c>
      <c r="T215">
        <f>(466/8)*6</f>
        <v>349.5</v>
      </c>
      <c r="W215">
        <v>325</v>
      </c>
      <c r="X215" s="4">
        <f>IF(AND(T215&gt;0,W215&gt;0),(W215/((T215+U215)*10)),"")</f>
        <v>9.2989985693848351E-2</v>
      </c>
      <c r="Y215">
        <v>140</v>
      </c>
      <c r="AA215">
        <v>23.9</v>
      </c>
      <c r="AB215">
        <v>23.9</v>
      </c>
      <c r="AC215">
        <v>2.73</v>
      </c>
      <c r="AD215">
        <v>3.56</v>
      </c>
      <c r="AE215" s="11">
        <v>60</v>
      </c>
      <c r="AF215" t="str">
        <f>CONCATENATE(VLOOKUP(AG215, 'Voxel Sizes'!$A$2:$B$18,2,FALSE),"x",INT(AC215*15), "x", INT(AD215*15))</f>
        <v>238x40x53</v>
      </c>
      <c r="AG215">
        <f>ROUND(15*((AB215*10)/256),0)</f>
        <v>14</v>
      </c>
      <c r="AI215" t="str">
        <f>CONCATENATE(VLOOKUP(AG215,Constants!$A$2:$C$16,IF(AH215&lt;&gt;"", 3, 2), FALSE),IF(AH215&lt;&gt;"",CONCATENATE(",",VLOOKUP(AH215,$B:$AI,34,FALSE)),""))</f>
        <v>4,6,4</v>
      </c>
      <c r="AK215" t="s">
        <v>1200</v>
      </c>
      <c r="AM215" t="s">
        <v>1201</v>
      </c>
      <c r="AN215" t="s">
        <v>714</v>
      </c>
      <c r="AP215">
        <v>39</v>
      </c>
      <c r="AQ215" t="str">
        <f>IF(I215&lt;&gt;"",MAX(8,(I215-G215)-4),"")</f>
        <v/>
      </c>
      <c r="AT215">
        <f>MIN(Y215/150, 1)*30</f>
        <v>28</v>
      </c>
      <c r="AU215">
        <f>MIN(K215/4000, 1)*20</f>
        <v>20</v>
      </c>
      <c r="AV215">
        <f>MIN(W215/400,1)*20</f>
        <v>16.25</v>
      </c>
      <c r="AW215" s="4">
        <v>1</v>
      </c>
      <c r="AX215">
        <f>((MAX($J215,1)*MIN($AE215/300,1)))*IF(D215="Wagon",50,10)</f>
        <v>12.000000000000002</v>
      </c>
      <c r="AY215">
        <f>VLOOKUP($E215,Constants!$I:$K, 2, FALSE)</f>
        <v>0.85</v>
      </c>
      <c r="AZ215">
        <f>VLOOKUP($E215,Constants!$I:$K, 3, FALSE)*IF(AND(D215="multiple_unit",Y215&lt;110),0.75,1)</f>
        <v>2.2999999999999998</v>
      </c>
      <c r="BA215">
        <f>INT(POWER(((Constants!$G$2+$AT215+$AU215+$AV215+$AX215)*$AW215)*$AZ215, 1.05))+$AS215</f>
        <v>242</v>
      </c>
      <c r="BB215">
        <f>INT(((Constants!$G$1+$AT215+$AU215+$AV215+$AX215)*(1/$AW215))*$AY215)+$AR215</f>
        <v>94</v>
      </c>
      <c r="BF215">
        <v>1</v>
      </c>
      <c r="BI215" t="s">
        <v>1221</v>
      </c>
      <c r="BK215" t="s">
        <v>325</v>
      </c>
      <c r="BL215" t="str">
        <f>VLOOKUP(G215,Eras!$A$2:$C$10, 2, TRUE)</f>
        <v>prv</v>
      </c>
      <c r="BM215" t="s">
        <v>376</v>
      </c>
      <c r="BN215" t="str">
        <f>CONCATENATE(BL215,"_",BM215)</f>
        <v>prv_EMU (Express)</v>
      </c>
      <c r="BO215" t="str">
        <f t="shared" si="12"/>
        <v/>
      </c>
      <c r="BP215" t="str">
        <f t="shared" si="13"/>
        <v>{BLACK}Cars: {GOLD}6{}</v>
      </c>
      <c r="BQ215" t="s">
        <v>715</v>
      </c>
      <c r="BR215" t="str">
        <f t="shared" si="14"/>
        <v/>
      </c>
      <c r="BS215" t="str">
        <f t="shared" si="15"/>
        <v>{BLACK}Cars: {GOLD}6{}{SILVER}The Pendolino is a tilting multiple unit with a design speed of 140mph.  The tilt system is supplied by Fiat Ferroviaria.</v>
      </c>
    </row>
    <row r="216" spans="1:71" x14ac:dyDescent="0.25">
      <c r="A216" t="s">
        <v>633</v>
      </c>
      <c r="B216" t="s">
        <v>1215</v>
      </c>
      <c r="C216">
        <v>490</v>
      </c>
      <c r="D216" t="s">
        <v>455</v>
      </c>
      <c r="E216" t="s">
        <v>338</v>
      </c>
      <c r="F216" t="s">
        <v>339</v>
      </c>
      <c r="G216">
        <v>2002</v>
      </c>
      <c r="J216">
        <v>4</v>
      </c>
      <c r="K216">
        <v>6840</v>
      </c>
      <c r="T216">
        <f>(466/8)*4</f>
        <v>233</v>
      </c>
      <c r="W216">
        <v>325</v>
      </c>
      <c r="X216" s="4">
        <f>IF(AND(T216&gt;0,W216&gt;0),(W216/((T216+U216)*10)),"")</f>
        <v>0.13948497854077252</v>
      </c>
      <c r="Y216">
        <v>140</v>
      </c>
      <c r="AA216">
        <v>23.9</v>
      </c>
      <c r="AB216">
        <v>23.9</v>
      </c>
      <c r="AC216">
        <v>2.73</v>
      </c>
      <c r="AD216">
        <v>3.56</v>
      </c>
      <c r="AE216" s="11">
        <v>60</v>
      </c>
      <c r="AF216" t="str">
        <f>CONCATENATE(VLOOKUP(AG216, 'Voxel Sizes'!$A$2:$B$18,2,FALSE),"x",INT(AC216*15), "x", INT(AD216*15))</f>
        <v>238x40x53</v>
      </c>
      <c r="AG216">
        <f>ROUND(15*((AB216*10)/256),0)</f>
        <v>14</v>
      </c>
      <c r="AI216" t="str">
        <f>CONCATENATE(VLOOKUP(AG216,Constants!$A$2:$C$16,IF(AH216&lt;&gt;"", 3, 2), FALSE),IF(AH216&lt;&gt;"",CONCATENATE(",",VLOOKUP(AH216,$B:$AI,34,FALSE)),""))</f>
        <v>4,6,4</v>
      </c>
      <c r="AK216" t="s">
        <v>1216</v>
      </c>
      <c r="AM216" t="s">
        <v>1197</v>
      </c>
      <c r="AN216" t="s">
        <v>714</v>
      </c>
      <c r="AP216">
        <v>39</v>
      </c>
      <c r="AQ216" t="str">
        <f>IF(I216&lt;&gt;"",MAX(8,(I216-G216)-4),"")</f>
        <v/>
      </c>
      <c r="AT216">
        <f>MIN(Y216/150, 1)*30</f>
        <v>28</v>
      </c>
      <c r="AU216">
        <f>MIN(K216/4000, 1)*20</f>
        <v>20</v>
      </c>
      <c r="AV216">
        <f>MIN(W216/400,1)*20</f>
        <v>16.25</v>
      </c>
      <c r="AW216" s="4">
        <v>1</v>
      </c>
      <c r="AX216">
        <f>((MAX($J216,1)*MIN($AE216/300,1)))*IF(D216="Wagon",50,10)</f>
        <v>8</v>
      </c>
      <c r="AY216">
        <f>VLOOKUP($E216,Constants!$I:$K, 2, FALSE)</f>
        <v>0.85</v>
      </c>
      <c r="AZ216">
        <f>VLOOKUP($E216,Constants!$I:$K, 3, FALSE)*IF(AND(D216="multiple_unit",Y216&lt;110),0.75,1)</f>
        <v>2.2999999999999998</v>
      </c>
      <c r="BA216">
        <f>INT(POWER(((Constants!$G$2+$AT216+$AU216+$AV216+$AX216)*$AW216)*$AZ216, 1.05))+$AS216</f>
        <v>230</v>
      </c>
      <c r="BB216">
        <f>INT(((Constants!$G$1+$AT216+$AU216+$AV216+$AX216)*(1/$AW216))*$AY216)+$AR216</f>
        <v>91</v>
      </c>
      <c r="BF216">
        <v>1</v>
      </c>
      <c r="BI216" t="s">
        <v>1220</v>
      </c>
      <c r="BK216" t="s">
        <v>325</v>
      </c>
      <c r="BL216" t="str">
        <f>VLOOKUP(G216,Eras!$A$2:$C$10, 2, TRUE)</f>
        <v>prv</v>
      </c>
      <c r="BM216" t="s">
        <v>376</v>
      </c>
      <c r="BN216" t="str">
        <f>CONCATENATE(BL216,"_",BM216)</f>
        <v>prv_EMU (Express)</v>
      </c>
      <c r="BO216" t="str">
        <f t="shared" si="12"/>
        <v/>
      </c>
      <c r="BP216" t="str">
        <f t="shared" si="13"/>
        <v>{BLACK}Cars: {GOLD}4{}</v>
      </c>
      <c r="BQ216" t="s">
        <v>715</v>
      </c>
      <c r="BR216" t="str">
        <f t="shared" si="14"/>
        <v/>
      </c>
      <c r="BS216" t="str">
        <f t="shared" si="15"/>
        <v>{BLACK}Cars: {GOLD}4{}{SILVER}The Pendolino is a tilting multiple unit with a design speed of 140mph.  The tilt system is supplied by Fiat Ferroviaria.</v>
      </c>
    </row>
    <row r="217" spans="1:71" x14ac:dyDescent="0.25">
      <c r="A217" t="s">
        <v>104</v>
      </c>
      <c r="B217" t="s">
        <v>262</v>
      </c>
      <c r="C217">
        <v>492</v>
      </c>
      <c r="D217" t="s">
        <v>455</v>
      </c>
      <c r="E217" t="s">
        <v>314</v>
      </c>
      <c r="F217" t="s">
        <v>316</v>
      </c>
      <c r="G217">
        <v>2002</v>
      </c>
      <c r="J217">
        <v>4</v>
      </c>
      <c r="K217">
        <v>3000</v>
      </c>
      <c r="T217">
        <v>185.6</v>
      </c>
      <c r="W217">
        <v>185</v>
      </c>
      <c r="X217" s="4">
        <f>IF(AND(T217&gt;0,W217&gt;0),(W217/((T217+U217)*10)),"")</f>
        <v>9.9676724137931036E-2</v>
      </c>
      <c r="Y217">
        <v>125</v>
      </c>
      <c r="AA217">
        <v>23.8</v>
      </c>
      <c r="AB217">
        <v>23.8</v>
      </c>
      <c r="AC217">
        <v>2.73</v>
      </c>
      <c r="AE217" s="11">
        <v>51</v>
      </c>
      <c r="AF217" t="str">
        <f>CONCATENATE(VLOOKUP(AG217, 'Voxel Sizes'!$A$2:$B$18,2,FALSE),"x",INT(AC217*15), "x", INT(AD217*15))</f>
        <v>238x40x0</v>
      </c>
      <c r="AG217">
        <f>ROUND(15*((AB217*10)/256),0)</f>
        <v>14</v>
      </c>
      <c r="AI217" t="str">
        <f>CONCATENATE(VLOOKUP(AG217,Constants!$A$2:$C$16,IF(AH217&lt;&gt;"", 3, 2), FALSE),IF(AH217&lt;&gt;"",CONCATENATE(",",VLOOKUP(AH217,$B:$AI,34,FALSE)),""))</f>
        <v>4,6,4</v>
      </c>
      <c r="AK217" t="s">
        <v>720</v>
      </c>
      <c r="AM217" t="s">
        <v>517</v>
      </c>
      <c r="AP217">
        <v>39</v>
      </c>
      <c r="AQ217" t="str">
        <f>IF(I217&lt;&gt;"",MAX(8,(I217-G217)-4),"")</f>
        <v/>
      </c>
      <c r="AT217">
        <f>MIN(Y217/150, 1)*30</f>
        <v>25</v>
      </c>
      <c r="AU217">
        <f>MIN(K217/4000, 1)*20</f>
        <v>15</v>
      </c>
      <c r="AV217">
        <f>MIN(W217/400,1)*20</f>
        <v>9.25</v>
      </c>
      <c r="AW217" s="4">
        <v>1</v>
      </c>
      <c r="AX217">
        <f>((MAX($J217,1)*MIN($AE217/300,1)))*IF(D217="Wagon",50,10)</f>
        <v>6.8000000000000007</v>
      </c>
      <c r="AY217">
        <f>VLOOKUP($E217,Constants!$I:$K, 2, FALSE)</f>
        <v>1</v>
      </c>
      <c r="AZ217">
        <f>VLOOKUP($E217,Constants!$I:$K, 3, FALSE)*IF(AND(D217="multiple_unit",Y217&lt;110),0.75,1)</f>
        <v>2</v>
      </c>
      <c r="BA217">
        <f>INT(POWER(((Constants!$G$2+$AT217+$AU217+$AV217+$AX217)*$AW217)*$AZ217, 1.05))+$AS217</f>
        <v>155</v>
      </c>
      <c r="BB217">
        <f>INT(((Constants!$G$1+$AT217+$AU217+$AV217+$AX217)*(1/$AW217))*$AY217)+$AR217</f>
        <v>91</v>
      </c>
      <c r="BK217" t="s">
        <v>325</v>
      </c>
      <c r="BL217" t="str">
        <f>VLOOKUP(G217,Eras!$A$2:$C$10, 2, TRUE)</f>
        <v>prv</v>
      </c>
      <c r="BM217" t="s">
        <v>374</v>
      </c>
      <c r="BN217" t="str">
        <f>CONCATENATE(BL217,"_",BM217)</f>
        <v>prv_DMU (Express)</v>
      </c>
      <c r="BO217" t="str">
        <f t="shared" si="12"/>
        <v/>
      </c>
      <c r="BP217" t="str">
        <f t="shared" si="13"/>
        <v>{BLACK}Cars: {GOLD}4{}</v>
      </c>
      <c r="BQ217" t="s">
        <v>718</v>
      </c>
      <c r="BR217" t="str">
        <f t="shared" si="14"/>
        <v/>
      </c>
      <c r="BS217" t="str">
        <f t="shared" si="15"/>
        <v>{BLACK}Cars: {GOLD}4{}{SILVER}The Voyager is a high speed diesel multiple unit, built to replace both the HST and locomotive-hauled passenger services on the Cross Country route.</v>
      </c>
    </row>
    <row r="218" spans="1:71" x14ac:dyDescent="0.25">
      <c r="A218" t="s">
        <v>105</v>
      </c>
      <c r="B218" t="s">
        <v>261</v>
      </c>
      <c r="C218">
        <v>494</v>
      </c>
      <c r="D218" t="s">
        <v>455</v>
      </c>
      <c r="E218" t="s">
        <v>314</v>
      </c>
      <c r="F218" t="s">
        <v>316</v>
      </c>
      <c r="G218">
        <v>2002</v>
      </c>
      <c r="J218">
        <v>5</v>
      </c>
      <c r="K218">
        <f>750*5</f>
        <v>3750</v>
      </c>
      <c r="T218">
        <v>282</v>
      </c>
      <c r="W218">
        <v>270</v>
      </c>
      <c r="X218" s="4">
        <f>IF(AND(T218&gt;0,W218&gt;0),(W218/((T218+U218)*10)),"")</f>
        <v>9.5744680851063829E-2</v>
      </c>
      <c r="Y218">
        <v>125</v>
      </c>
      <c r="AA218">
        <v>23.8</v>
      </c>
      <c r="AB218">
        <v>23.8</v>
      </c>
      <c r="AC218">
        <v>2.73</v>
      </c>
      <c r="AE218" s="11">
        <v>51</v>
      </c>
      <c r="AF218" t="str">
        <f>CONCATENATE(VLOOKUP(AG218, 'Voxel Sizes'!$A$2:$B$18,2,FALSE),"x",INT(AC218*15), "x", INT(AD218*15))</f>
        <v>238x40x0</v>
      </c>
      <c r="AG218">
        <f>ROUND(15*((AB218*10)/256),0)</f>
        <v>14</v>
      </c>
      <c r="AI218" t="str">
        <f>CONCATENATE(VLOOKUP(AG218,Constants!$A$2:$C$16,IF(AH218&lt;&gt;"", 3, 2), FALSE),IF(AH218&lt;&gt;"",CONCATENATE(",",VLOOKUP(AH218,$B:$AI,34,FALSE)),""))</f>
        <v>4,6,4</v>
      </c>
      <c r="AK218" t="s">
        <v>721</v>
      </c>
      <c r="AM218" t="s">
        <v>722</v>
      </c>
      <c r="AN218" t="s">
        <v>262</v>
      </c>
      <c r="AP218">
        <v>39</v>
      </c>
      <c r="AQ218" t="str">
        <f>IF(I218&lt;&gt;"",MAX(8,(I218-G218)-4),"")</f>
        <v/>
      </c>
      <c r="AT218">
        <f>MIN(Y218/150, 1)*30</f>
        <v>25</v>
      </c>
      <c r="AU218">
        <f>MIN(K218/4000, 1)*20</f>
        <v>18.75</v>
      </c>
      <c r="AV218">
        <f>MIN(W218/400,1)*20</f>
        <v>13.5</v>
      </c>
      <c r="AW218" s="4">
        <v>1</v>
      </c>
      <c r="AX218">
        <f>((MAX($J218,1)*MIN($AE218/300,1)))*IF(D218="Wagon",50,10)</f>
        <v>8.5</v>
      </c>
      <c r="AY218">
        <f>VLOOKUP($E218,Constants!$I:$K, 2, FALSE)</f>
        <v>1</v>
      </c>
      <c r="AZ218">
        <f>VLOOKUP($E218,Constants!$I:$K, 3, FALSE)*IF(AND(D218="multiple_unit",Y218&lt;110),0.75,1)</f>
        <v>2</v>
      </c>
      <c r="BA218">
        <f>INT(POWER(((Constants!$G$2+$AT218+$AU218+$AV218+$AX218)*$AW218)*$AZ218, 1.05))+$AS218</f>
        <v>181</v>
      </c>
      <c r="BB218">
        <f>INT(((Constants!$G$1+$AT218+$AU218+$AV218+$AX218)*(1/$AW218))*$AY218)+$AR218</f>
        <v>100</v>
      </c>
      <c r="BF218">
        <v>1</v>
      </c>
      <c r="BI218" t="s">
        <v>1218</v>
      </c>
      <c r="BK218" t="s">
        <v>325</v>
      </c>
      <c r="BL218" t="str">
        <f>VLOOKUP(G218,Eras!$A$2:$C$10, 2, TRUE)</f>
        <v>prv</v>
      </c>
      <c r="BM218" t="s">
        <v>374</v>
      </c>
      <c r="BN218" t="str">
        <f>CONCATENATE(BL218,"_",BM218)</f>
        <v>prv_DMU (Express)</v>
      </c>
      <c r="BO218" t="str">
        <f t="shared" si="12"/>
        <v/>
      </c>
      <c r="BP218" t="str">
        <f t="shared" si="13"/>
        <v>{BLACK}Cars: {GOLD}5{}</v>
      </c>
      <c r="BQ218" t="s">
        <v>719</v>
      </c>
      <c r="BR218" t="str">
        <f t="shared" si="14"/>
        <v/>
      </c>
      <c r="BS218" t="str">
        <f t="shared" si="15"/>
        <v>{BLACK}Cars: {GOLD}5{}{SILVER}The Class 221 is outwardly very similar to the Class 220, but internally it has different bogies and features a tilt mechanism for faster cornering.</v>
      </c>
    </row>
    <row r="219" spans="1:71" x14ac:dyDescent="0.25">
      <c r="A219" t="s">
        <v>105</v>
      </c>
      <c r="B219" t="s">
        <v>1208</v>
      </c>
      <c r="C219">
        <v>495</v>
      </c>
      <c r="D219" t="s">
        <v>455</v>
      </c>
      <c r="E219" t="s">
        <v>314</v>
      </c>
      <c r="F219" t="s">
        <v>316</v>
      </c>
      <c r="G219">
        <v>2002</v>
      </c>
      <c r="J219">
        <v>4</v>
      </c>
      <c r="K219">
        <f>750*5</f>
        <v>3750</v>
      </c>
      <c r="T219">
        <f>282/5*4</f>
        <v>225.6</v>
      </c>
      <c r="W219">
        <v>270</v>
      </c>
      <c r="X219" s="4">
        <f>IF(AND(T219&gt;0,W219&gt;0),(W219/((T219+U219)*10)),"")</f>
        <v>0.11968085106382979</v>
      </c>
      <c r="Y219">
        <v>125</v>
      </c>
      <c r="AA219">
        <v>23.8</v>
      </c>
      <c r="AB219">
        <v>23.8</v>
      </c>
      <c r="AC219">
        <v>2.73</v>
      </c>
      <c r="AE219" s="11">
        <v>51</v>
      </c>
      <c r="AF219" t="str">
        <f>CONCATENATE(VLOOKUP(AG219, 'Voxel Sizes'!$A$2:$B$18,2,FALSE),"x",INT(AC219*15), "x", INT(AD219*15))</f>
        <v>238x40x0</v>
      </c>
      <c r="AG219">
        <f>ROUND(15*((AB219*10)/256),0)</f>
        <v>14</v>
      </c>
      <c r="AI219" t="str">
        <f>CONCATENATE(VLOOKUP(AG219,Constants!$A$2:$C$16,IF(AH219&lt;&gt;"", 3, 2), FALSE),IF(AH219&lt;&gt;"",CONCATENATE(",",VLOOKUP(AH219,$B:$AI,34,FALSE)),""))</f>
        <v>4,6,4</v>
      </c>
      <c r="AK219" t="s">
        <v>720</v>
      </c>
      <c r="AM219" t="s">
        <v>1197</v>
      </c>
      <c r="AN219" t="s">
        <v>262</v>
      </c>
      <c r="AP219">
        <v>39</v>
      </c>
      <c r="AQ219" t="str">
        <f>IF(I219&lt;&gt;"",MAX(8,(I219-G219)-4),"")</f>
        <v/>
      </c>
      <c r="AT219">
        <f>MIN(Y219/150, 1)*30</f>
        <v>25</v>
      </c>
      <c r="AU219">
        <f>MIN(K219/4000, 1)*20</f>
        <v>18.75</v>
      </c>
      <c r="AV219">
        <f>MIN(W219/400,1)*20</f>
        <v>13.5</v>
      </c>
      <c r="AW219" s="4">
        <v>1</v>
      </c>
      <c r="AX219">
        <f>((MAX($J219,1)*MIN($AE219/300,1)))*IF(D219="Wagon",50,10)</f>
        <v>6.8000000000000007</v>
      </c>
      <c r="AY219">
        <f>VLOOKUP($E219,Constants!$I:$K, 2, FALSE)</f>
        <v>1</v>
      </c>
      <c r="AZ219">
        <f>VLOOKUP($E219,Constants!$I:$K, 3, FALSE)*IF(AND(D219="multiple_unit",Y219&lt;110),0.75,1)</f>
        <v>2</v>
      </c>
      <c r="BA219">
        <f>INT(POWER(((Constants!$G$2+$AT219+$AU219+$AV219+$AX219)*$AW219)*$AZ219, 1.05))+$AS219</f>
        <v>176</v>
      </c>
      <c r="BB219">
        <f>INT(((Constants!$G$1+$AT219+$AU219+$AV219+$AX219)*(1/$AW219))*$AY219)+$AR219</f>
        <v>99</v>
      </c>
      <c r="BF219">
        <v>1</v>
      </c>
      <c r="BI219" t="s">
        <v>1220</v>
      </c>
      <c r="BK219" t="s">
        <v>325</v>
      </c>
      <c r="BL219" t="str">
        <f>VLOOKUP(G219,Eras!$A$2:$C$10, 2, TRUE)</f>
        <v>prv</v>
      </c>
      <c r="BM219" t="s">
        <v>374</v>
      </c>
      <c r="BN219" t="str">
        <f>CONCATENATE(BL219,"_",BM219)</f>
        <v>prv_DMU (Express)</v>
      </c>
      <c r="BO219" t="str">
        <f t="shared" si="12"/>
        <v/>
      </c>
      <c r="BP219" t="str">
        <f t="shared" si="13"/>
        <v>{BLACK}Cars: {GOLD}4{}</v>
      </c>
      <c r="BQ219" t="s">
        <v>719</v>
      </c>
      <c r="BR219" t="str">
        <f t="shared" si="14"/>
        <v/>
      </c>
      <c r="BS219" t="str">
        <f t="shared" si="15"/>
        <v>{BLACK}Cars: {GOLD}4{}{SILVER}The Class 221 is outwardly very similar to the Class 220, but internally it has different bogies and features a tilt mechanism for faster cornering.</v>
      </c>
    </row>
    <row r="220" spans="1:71" x14ac:dyDescent="0.25">
      <c r="A220" t="s">
        <v>85</v>
      </c>
      <c r="B220" t="s">
        <v>642</v>
      </c>
      <c r="C220">
        <v>498</v>
      </c>
      <c r="D220" t="s">
        <v>455</v>
      </c>
      <c r="E220" t="s">
        <v>607</v>
      </c>
      <c r="F220" t="s">
        <v>606</v>
      </c>
      <c r="G220">
        <v>2003</v>
      </c>
      <c r="J220">
        <v>4</v>
      </c>
      <c r="K220">
        <v>1600</v>
      </c>
      <c r="T220">
        <v>173.6</v>
      </c>
      <c r="W220">
        <v>175</v>
      </c>
      <c r="X220" s="4">
        <f>IF(AND(T220&gt;0,W220&gt;0),(W220/((T220+U220)*10)),"")</f>
        <v>0.10080645161290322</v>
      </c>
      <c r="Y220">
        <v>100</v>
      </c>
      <c r="AA220">
        <v>20.399999999999999</v>
      </c>
      <c r="AB220">
        <v>20.399999999999999</v>
      </c>
      <c r="AD220">
        <v>3.78</v>
      </c>
      <c r="AE220" s="11">
        <v>60</v>
      </c>
      <c r="AF220" t="str">
        <f>CONCATENATE(VLOOKUP(AG220, 'Voxel Sizes'!$A$2:$B$18,2,FALSE),"x",INT(AC220*15), "x", INT(AD220*15))</f>
        <v>198x0x56</v>
      </c>
      <c r="AG220">
        <f>ROUND(15*((AB220*10)/256),0)</f>
        <v>12</v>
      </c>
      <c r="AI220" t="str">
        <f>CONCATENATE(VLOOKUP(AG220,Constants!$A$2:$C$16,IF(AH220&lt;&gt;"", 3, 2), FALSE),IF(AH220&lt;&gt;"",CONCATENATE(",",VLOOKUP(AH220,$B:$AI,34,FALSE)),""))</f>
        <v>4,4,4</v>
      </c>
      <c r="AK220" t="s">
        <v>643</v>
      </c>
      <c r="AL220" t="s">
        <v>644</v>
      </c>
      <c r="AM220" t="s">
        <v>610</v>
      </c>
      <c r="AP220">
        <v>39</v>
      </c>
      <c r="AQ220" t="str">
        <f>IF(I220&lt;&gt;"",MAX(8,(I220-G220)-4),"")</f>
        <v/>
      </c>
      <c r="AT220">
        <f>MIN(Y220/150, 1)*30</f>
        <v>20</v>
      </c>
      <c r="AU220">
        <f>MIN(K220/4000, 1)*20</f>
        <v>8</v>
      </c>
      <c r="AV220">
        <f>MIN(W220/400,1)*20</f>
        <v>8.75</v>
      </c>
      <c r="AW220" s="4">
        <v>1</v>
      </c>
      <c r="AX220">
        <f>((MAX($J220,1)*MIN($AE220/300,1)))*IF(D220="Wagon",50,10)</f>
        <v>8</v>
      </c>
      <c r="AY220">
        <f>VLOOKUP($E220,Constants!$I:$K, 2, FALSE)</f>
        <v>0.85</v>
      </c>
      <c r="AZ220">
        <f>VLOOKUP($E220,Constants!$I:$K, 3, FALSE)*IF(AND(D220="multiple_unit",Y220&lt;110),0.75,1)</f>
        <v>1.7999999999999998</v>
      </c>
      <c r="BA220">
        <f>INT(POWER(((Constants!$G$2+$AT220+$AU220+$AV220+$AX220)*$AW220)*$AZ220, 1.05))+$AS220</f>
        <v>112</v>
      </c>
      <c r="BB220">
        <f>INT(((Constants!$G$1+$AT220+$AU220+$AV220+$AX220)*(1/$AW220))*$AY220)+$AR220</f>
        <v>67</v>
      </c>
      <c r="BK220" t="s">
        <v>325</v>
      </c>
      <c r="BL220" t="str">
        <f>VLOOKUP(G220,Eras!$A$2:$C$10, 2, TRUE)</f>
        <v>prv</v>
      </c>
      <c r="BM220" t="s">
        <v>375</v>
      </c>
      <c r="BN220" t="str">
        <f>CONCATENATE(BL220,"_",BM220)</f>
        <v>prv_EMU</v>
      </c>
      <c r="BO220" t="str">
        <f t="shared" si="12"/>
        <v/>
      </c>
      <c r="BP220" t="str">
        <f t="shared" si="13"/>
        <v>{BLACK}Cars: {GOLD}4{}</v>
      </c>
      <c r="BQ220" t="s">
        <v>641</v>
      </c>
      <c r="BR220" t="str">
        <f t="shared" si="14"/>
        <v/>
      </c>
      <c r="BS220" t="str">
        <f t="shared" si="15"/>
        <v>{BLACK}Cars: {GOLD}4{}{SILVER}The Class 377 is a dual-voltage EMU, and is a common sight around London and South East England.</v>
      </c>
    </row>
    <row r="221" spans="1:71" x14ac:dyDescent="0.25">
      <c r="A221" t="s">
        <v>93</v>
      </c>
      <c r="B221" t="s">
        <v>259</v>
      </c>
      <c r="C221">
        <v>500</v>
      </c>
      <c r="D221" t="s">
        <v>455</v>
      </c>
      <c r="E221" t="s">
        <v>338</v>
      </c>
      <c r="F221" t="s">
        <v>345</v>
      </c>
      <c r="G221">
        <v>2003</v>
      </c>
      <c r="H221">
        <v>2006</v>
      </c>
      <c r="J221">
        <v>4</v>
      </c>
      <c r="K221">
        <v>2010</v>
      </c>
      <c r="T221">
        <v>170</v>
      </c>
      <c r="W221">
        <v>180</v>
      </c>
      <c r="X221" s="4">
        <f>IF(AND(T221&gt;0,W221&gt;0),(W221/((T221+U221)*10)),"")</f>
        <v>0.10588235294117647</v>
      </c>
      <c r="Y221">
        <v>100</v>
      </c>
      <c r="AA221">
        <v>20.399999999999999</v>
      </c>
      <c r="AB221">
        <v>20.399999999999999</v>
      </c>
      <c r="AC221">
        <v>2.8</v>
      </c>
      <c r="AE221" s="11">
        <v>66</v>
      </c>
      <c r="AF221" t="str">
        <f>CONCATENATE(VLOOKUP(AG221, 'Voxel Sizes'!$A$2:$B$18,2,FALSE),"x",INT(AC221*15), "x", INT(AD221*15))</f>
        <v>198x42x0</v>
      </c>
      <c r="AG221">
        <f>ROUND(15*((AB221*10)/256),0)</f>
        <v>12</v>
      </c>
      <c r="AI221" t="str">
        <f>CONCATENATE(VLOOKUP(AG221,Constants!$A$2:$C$16,IF(AH221&lt;&gt;"", 3, 2), FALSE),IF(AH221&lt;&gt;"",CONCATENATE(",",VLOOKUP(AH221,$B:$AI,34,FALSE)),""))</f>
        <v>4,4,4</v>
      </c>
      <c r="AK221" t="s">
        <v>660</v>
      </c>
      <c r="AM221" t="s">
        <v>610</v>
      </c>
      <c r="AP221">
        <v>38</v>
      </c>
      <c r="AQ221" t="str">
        <f>IF(I221&lt;&gt;"",MAX(8,(I221-G221)-4),"")</f>
        <v/>
      </c>
      <c r="AT221">
        <f>MIN(Y221/150, 1)*30</f>
        <v>20</v>
      </c>
      <c r="AU221">
        <f>MIN(K221/4000, 1)*20</f>
        <v>10.049999999999999</v>
      </c>
      <c r="AV221">
        <f>MIN(W221/400,1)*20</f>
        <v>9</v>
      </c>
      <c r="AW221" s="4">
        <v>1</v>
      </c>
      <c r="AX221">
        <f>((MAX($J221,1)*MIN($AE221/300,1)))*IF(D221="Wagon",50,10)</f>
        <v>8.8000000000000007</v>
      </c>
      <c r="AY221">
        <f>VLOOKUP($E221,Constants!$I:$K, 2, FALSE)</f>
        <v>0.85</v>
      </c>
      <c r="AZ221">
        <f>VLOOKUP($E221,Constants!$I:$K, 3, FALSE)*IF(AND(D221="multiple_unit",Y221&lt;110),0.75,1)</f>
        <v>1.7249999999999999</v>
      </c>
      <c r="BA221">
        <f>INT(POWER(((Constants!$G$2+$AT221+$AU221+$AV221+$AX221)*$AW221)*$AZ221, 1.05))+$AS221</f>
        <v>114</v>
      </c>
      <c r="BB221">
        <f>INT(((Constants!$G$1+$AT221+$AU221+$AV221+$AX221)*(1/$AW221))*$AY221)+$AR221</f>
        <v>70</v>
      </c>
      <c r="BG221" t="s">
        <v>260</v>
      </c>
      <c r="BK221" t="s">
        <v>325</v>
      </c>
      <c r="BL221" t="str">
        <f>VLOOKUP(G221,Eras!$A$2:$C$10, 2, TRUE)</f>
        <v>prv</v>
      </c>
      <c r="BM221" t="s">
        <v>375</v>
      </c>
      <c r="BN221" t="str">
        <f>CONCATENATE(BL221,"_",BM221)</f>
        <v>prv_EMU</v>
      </c>
      <c r="BO221" t="str">
        <f t="shared" si="12"/>
        <v/>
      </c>
      <c r="BP221" t="str">
        <f t="shared" si="13"/>
        <v>{BLACK}Cars: {GOLD}4{}</v>
      </c>
      <c r="BQ221" t="s">
        <v>658</v>
      </c>
      <c r="BR221" t="str">
        <f t="shared" si="14"/>
        <v/>
      </c>
      <c r="BS221" t="str">
        <f t="shared" si="15"/>
        <v>{BLACK}Cars: {GOLD}4{}{SILVER}The Class 450 was designed for South West Trains to replace all slam-door stock. The large order meant the Class 450 became the most numerous type of Desiro unit in the UK.</v>
      </c>
    </row>
    <row r="222" spans="1:71" x14ac:dyDescent="0.25">
      <c r="A222" t="s">
        <v>102</v>
      </c>
      <c r="B222" t="s">
        <v>706</v>
      </c>
      <c r="C222">
        <v>500</v>
      </c>
      <c r="D222" t="s">
        <v>455</v>
      </c>
      <c r="E222" t="s">
        <v>314</v>
      </c>
      <c r="F222" t="s">
        <v>316</v>
      </c>
      <c r="G222">
        <v>2019</v>
      </c>
      <c r="J222">
        <v>2</v>
      </c>
      <c r="K222">
        <f>523*2</f>
        <v>1046</v>
      </c>
      <c r="T222">
        <v>80</v>
      </c>
      <c r="W222">
        <v>145</v>
      </c>
      <c r="X222" s="4">
        <f>IF(AND(T222&gt;0,W222&gt;0),(W222/((T222+U222)*10)),"")</f>
        <v>0.18124999999999999</v>
      </c>
      <c r="Y222">
        <v>100</v>
      </c>
      <c r="AA222">
        <v>24</v>
      </c>
      <c r="AB222">
        <v>24</v>
      </c>
      <c r="AC222">
        <v>2.7</v>
      </c>
      <c r="AD222">
        <v>3.85</v>
      </c>
      <c r="AE222" s="11">
        <v>63</v>
      </c>
      <c r="AF222" t="str">
        <f>CONCATENATE(VLOOKUP(AG222, 'Voxel Sizes'!$A$2:$B$18,2,FALSE),"x",INT(AC222*15), "x", INT(AD222*15))</f>
        <v>238x40x57</v>
      </c>
      <c r="AG222">
        <f>ROUND(15*((AB222*10)/256),0)</f>
        <v>14</v>
      </c>
      <c r="AI222" t="str">
        <f>CONCATENATE(VLOOKUP(AG222,Constants!$A$2:$C$16,IF(AH222&lt;&gt;"", 3, 2), FALSE),IF(AH222&lt;&gt;"",CONCATENATE(",",VLOOKUP(AH222,$B:$AI,34,FALSE)),""))</f>
        <v>4,6,4</v>
      </c>
      <c r="AK222" t="s">
        <v>707</v>
      </c>
      <c r="AM222" t="s">
        <v>519</v>
      </c>
      <c r="AP222">
        <v>40</v>
      </c>
      <c r="AQ222" t="str">
        <f>IF(I222&lt;&gt;"",MAX(8,(I222-G222)-4),"")</f>
        <v/>
      </c>
      <c r="AT222">
        <f>MIN(Y222/150, 1)*30</f>
        <v>20</v>
      </c>
      <c r="AU222">
        <f>MIN(K222/4000, 1)*20</f>
        <v>5.23</v>
      </c>
      <c r="AV222">
        <f>MIN(W222/400,1)*20</f>
        <v>7.25</v>
      </c>
      <c r="AW222" s="4">
        <v>1</v>
      </c>
      <c r="AX222">
        <f>((MAX($J222,1)*MIN($AE222/300,1)))*IF(D222="Wagon",50,10)</f>
        <v>4.2</v>
      </c>
      <c r="AY222">
        <f>VLOOKUP($E222,Constants!$I:$K, 2, FALSE)</f>
        <v>1</v>
      </c>
      <c r="AZ222">
        <f>VLOOKUP($E222,Constants!$I:$K, 3, FALSE)*IF(AND(D222="multiple_unit",Y222&lt;110),0.75,1)</f>
        <v>1.5</v>
      </c>
      <c r="BA222">
        <f>INT(POWER(((Constants!$G$2+$AT222+$AU222+$AV222+$AX222)*$AW222)*$AZ222, 1.05))+$AS222</f>
        <v>76</v>
      </c>
      <c r="BB222">
        <f>INT(((Constants!$G$1+$AT222+$AU222+$AV222+$AX222)*(1/$AW222))*$AY222)+$AR222</f>
        <v>71</v>
      </c>
      <c r="BK222" t="s">
        <v>325</v>
      </c>
      <c r="BL222" t="str">
        <f>VLOOKUP(G222,Eras!$A$2:$C$10, 2, TRUE)</f>
        <v>mod</v>
      </c>
      <c r="BM222" t="s">
        <v>373</v>
      </c>
      <c r="BN222" t="str">
        <f>CONCATENATE(BL222,"_",BM222)</f>
        <v>mod_DMU</v>
      </c>
      <c r="BO222" t="str">
        <f t="shared" si="12"/>
        <v/>
      </c>
      <c r="BP222" t="str">
        <f t="shared" si="13"/>
        <v>{BLACK}Cars: {GOLD}2{}</v>
      </c>
      <c r="BQ222" t="s">
        <v>708</v>
      </c>
      <c r="BR222" t="str">
        <f t="shared" si="14"/>
        <v/>
      </c>
      <c r="BS222" t="str">
        <f t="shared" si="15"/>
        <v>{BLACK}Cars: {GOLD}2{}{SILVER}The Class 195 is designed to replace Sprinter and Pacer units with a multiple unit of far higher quality and passenger comfort.</v>
      </c>
    </row>
    <row r="223" spans="1:71" x14ac:dyDescent="0.25">
      <c r="A223" t="s">
        <v>94</v>
      </c>
      <c r="B223" t="s">
        <v>260</v>
      </c>
      <c r="C223">
        <v>502</v>
      </c>
      <c r="D223" t="s">
        <v>455</v>
      </c>
      <c r="E223" t="s">
        <v>338</v>
      </c>
      <c r="F223" t="s">
        <v>345</v>
      </c>
      <c r="G223">
        <v>2004</v>
      </c>
      <c r="J223">
        <v>5</v>
      </c>
      <c r="K223">
        <v>2680</v>
      </c>
      <c r="T223">
        <v>227</v>
      </c>
      <c r="W223">
        <v>210</v>
      </c>
      <c r="X223" s="4">
        <f>IF(AND(T223&gt;0,W223&gt;0),(W223/((T223+U223)*10)),"")</f>
        <v>9.2511013215859028E-2</v>
      </c>
      <c r="Y223">
        <v>100</v>
      </c>
      <c r="AA223">
        <v>23</v>
      </c>
      <c r="AB223">
        <v>23</v>
      </c>
      <c r="AC223">
        <v>2.8</v>
      </c>
      <c r="AE223" s="11">
        <v>66</v>
      </c>
      <c r="AF223" t="str">
        <f>CONCATENATE(VLOOKUP(AG223, 'Voxel Sizes'!$A$2:$B$18,2,FALSE),"x",INT(AC223*15), "x", INT(AD223*15))</f>
        <v>214x42x0</v>
      </c>
      <c r="AG223">
        <f>ROUND(15*((AB223*10)/256),0)</f>
        <v>13</v>
      </c>
      <c r="AI223" t="str">
        <f>CONCATENATE(VLOOKUP(AG223,Constants!$A$2:$C$16,IF(AH223&lt;&gt;"", 3, 2), FALSE),IF(AH223&lt;&gt;"",CONCATENATE(",",VLOOKUP(AH223,$B:$AI,34,FALSE)),""))</f>
        <v>4,5,4</v>
      </c>
      <c r="AK223" t="s">
        <v>661</v>
      </c>
      <c r="AM223" t="s">
        <v>662</v>
      </c>
      <c r="AP223">
        <v>38</v>
      </c>
      <c r="AQ223" t="str">
        <f>IF(I223&lt;&gt;"",MAX(8,(I223-G223)-4),"")</f>
        <v/>
      </c>
      <c r="AT223">
        <f>MIN(Y223/150, 1)*30</f>
        <v>20</v>
      </c>
      <c r="AU223">
        <f>MIN(K223/4000, 1)*20</f>
        <v>13.4</v>
      </c>
      <c r="AV223">
        <f>MIN(W223/400,1)*20</f>
        <v>10.5</v>
      </c>
      <c r="AW223" s="4">
        <v>1</v>
      </c>
      <c r="AX223">
        <f>((MAX($J223,1)*MIN($AE223/300,1)))*IF(D223="Wagon",50,10)</f>
        <v>11</v>
      </c>
      <c r="AY223">
        <f>VLOOKUP($E223,Constants!$I:$K, 2, FALSE)</f>
        <v>0.85</v>
      </c>
      <c r="AZ223">
        <f>VLOOKUP($E223,Constants!$I:$K, 3, FALSE)*IF(AND(D223="multiple_unit",Y223&lt;110),0.75,1)</f>
        <v>1.7249999999999999</v>
      </c>
      <c r="BA223">
        <f>INT(POWER(((Constants!$G$2+$AT223+$AU223+$AV223+$AX223)*$AW223)*$AZ223, 1.05))+$AS223</f>
        <v>130</v>
      </c>
      <c r="BB223">
        <f>INT(((Constants!$G$1+$AT223+$AU223+$AV223+$AX223)*(1/$AW223))*$AY223)+$AR223</f>
        <v>76</v>
      </c>
      <c r="BG223" t="s">
        <v>259</v>
      </c>
      <c r="BI223" t="s">
        <v>1218</v>
      </c>
      <c r="BK223" t="s">
        <v>325</v>
      </c>
      <c r="BL223" t="str">
        <f>VLOOKUP(G223,Eras!$A$2:$C$10, 2, TRUE)</f>
        <v>prv</v>
      </c>
      <c r="BM223" t="s">
        <v>376</v>
      </c>
      <c r="BN223" t="str">
        <f>CONCATENATE(BL223,"_",BM223)</f>
        <v>prv_EMU (Express)</v>
      </c>
      <c r="BO223" t="str">
        <f t="shared" si="12"/>
        <v/>
      </c>
      <c r="BP223" t="str">
        <f t="shared" si="13"/>
        <v>{BLACK}Cars: {GOLD}5{}</v>
      </c>
      <c r="BQ223" t="s">
        <v>659</v>
      </c>
      <c r="BR223" t="str">
        <f t="shared" si="14"/>
        <v/>
      </c>
      <c r="BS223" t="str">
        <f t="shared" si="15"/>
        <v>{BLACK}Cars: {GOLD}5{}{SILVER}The Class 444 is an express variant of the Desiro family, used on services to and from the South Coast. Its high power compared to earlier EMUs required power networks in the third rail region to be upgraded.</v>
      </c>
    </row>
    <row r="224" spans="1:71" x14ac:dyDescent="0.25">
      <c r="A224" t="s">
        <v>94</v>
      </c>
      <c r="B224" t="s">
        <v>1209</v>
      </c>
      <c r="C224">
        <v>503</v>
      </c>
      <c r="D224" t="s">
        <v>455</v>
      </c>
      <c r="E224" t="s">
        <v>338</v>
      </c>
      <c r="F224" t="s">
        <v>345</v>
      </c>
      <c r="G224">
        <v>2004</v>
      </c>
      <c r="J224">
        <v>4</v>
      </c>
      <c r="K224">
        <v>2680</v>
      </c>
      <c r="T224">
        <f>227/5*4</f>
        <v>181.6</v>
      </c>
      <c r="W224">
        <v>210</v>
      </c>
      <c r="X224" s="4">
        <f>IF(AND(T224&gt;0,W224&gt;0),(W224/((T224+U224)*10)),"")</f>
        <v>0.11563876651982379</v>
      </c>
      <c r="Y224">
        <v>100</v>
      </c>
      <c r="AA224">
        <v>23</v>
      </c>
      <c r="AB224">
        <v>23</v>
      </c>
      <c r="AC224">
        <v>2.8</v>
      </c>
      <c r="AE224" s="11">
        <v>66</v>
      </c>
      <c r="AF224" t="str">
        <f>CONCATENATE(VLOOKUP(AG224, 'Voxel Sizes'!$A$2:$B$18,2,FALSE),"x",INT(AC224*15), "x", INT(AD224*15))</f>
        <v>214x42x0</v>
      </c>
      <c r="AG224">
        <f>ROUND(15*((AB224*10)/256),0)</f>
        <v>13</v>
      </c>
      <c r="AI224" t="str">
        <f>CONCATENATE(VLOOKUP(AG224,Constants!$A$2:$C$16,IF(AH224&lt;&gt;"", 3, 2), FALSE),IF(AH224&lt;&gt;"",CONCATENATE(",",VLOOKUP(AH224,$B:$AI,34,FALSE)),""))</f>
        <v>4,5,4</v>
      </c>
      <c r="AK224" t="s">
        <v>1210</v>
      </c>
      <c r="AM224" t="s">
        <v>1197</v>
      </c>
      <c r="AN224" t="s">
        <v>260</v>
      </c>
      <c r="AP224">
        <v>38</v>
      </c>
      <c r="AQ224" t="str">
        <f>IF(I224&lt;&gt;"",MAX(8,(I224-G224)-4),"")</f>
        <v/>
      </c>
      <c r="AT224">
        <f>MIN(Y224/150, 1)*30</f>
        <v>20</v>
      </c>
      <c r="AU224">
        <f>MIN(K224/4000, 1)*20</f>
        <v>13.4</v>
      </c>
      <c r="AV224">
        <f>MIN(W224/400,1)*20</f>
        <v>10.5</v>
      </c>
      <c r="AW224" s="4">
        <v>1</v>
      </c>
      <c r="AX224">
        <f>((MAX($J224,1)*MIN($AE224/300,1)))*IF(D224="Wagon",50,10)</f>
        <v>8.8000000000000007</v>
      </c>
      <c r="AY224">
        <f>VLOOKUP($E224,Constants!$I:$K, 2, FALSE)</f>
        <v>0.85</v>
      </c>
      <c r="AZ224">
        <f>VLOOKUP($E224,Constants!$I:$K, 3, FALSE)*IF(AND(D224="multiple_unit",Y224&lt;110),0.75,1)</f>
        <v>1.7249999999999999</v>
      </c>
      <c r="BA224">
        <f>INT(POWER(((Constants!$G$2+$AT224+$AU224+$AV224+$AX224)*$AW224)*$AZ224, 1.05))+$AS224</f>
        <v>125</v>
      </c>
      <c r="BB224">
        <f>INT(((Constants!$G$1+$AT224+$AU224+$AV224+$AX224)*(1/$AW224))*$AY224)+$AR224</f>
        <v>74</v>
      </c>
      <c r="BG224" t="s">
        <v>259</v>
      </c>
      <c r="BI224" t="s">
        <v>1220</v>
      </c>
      <c r="BK224" t="s">
        <v>325</v>
      </c>
      <c r="BL224" t="str">
        <f>VLOOKUP(G224,Eras!$A$2:$C$10, 2, TRUE)</f>
        <v>prv</v>
      </c>
      <c r="BM224" t="s">
        <v>376</v>
      </c>
      <c r="BN224" t="str">
        <f>CONCATENATE(BL224,"_",BM224)</f>
        <v>prv_EMU (Express)</v>
      </c>
      <c r="BO224" t="str">
        <f t="shared" si="12"/>
        <v/>
      </c>
      <c r="BP224" t="str">
        <f t="shared" si="13"/>
        <v>{BLACK}Cars: {GOLD}4{}</v>
      </c>
      <c r="BQ224" t="s">
        <v>659</v>
      </c>
      <c r="BR224" t="str">
        <f t="shared" si="14"/>
        <v/>
      </c>
      <c r="BS224" t="str">
        <f t="shared" si="15"/>
        <v>{BLACK}Cars: {GOLD}4{}{SILVER}The Class 444 is an express variant of the Desiro family, used on services to and from the South Coast. Its high power compared to earlier EMUs required power networks in the third rail region to be upgraded.</v>
      </c>
    </row>
    <row r="225" spans="1:71" x14ac:dyDescent="0.25">
      <c r="A225" t="s">
        <v>87</v>
      </c>
      <c r="B225" t="s">
        <v>284</v>
      </c>
      <c r="C225">
        <v>506</v>
      </c>
      <c r="D225" t="s">
        <v>169</v>
      </c>
      <c r="E225" t="s">
        <v>338</v>
      </c>
      <c r="F225" t="s">
        <v>316</v>
      </c>
      <c r="G225">
        <v>2007</v>
      </c>
      <c r="H225">
        <v>2009</v>
      </c>
      <c r="K225">
        <f>16*280</f>
        <v>4480</v>
      </c>
      <c r="T225">
        <v>265</v>
      </c>
      <c r="X225" s="4" t="str">
        <f>IF(AND(T225&gt;0,W225&gt;0),(W225/((T225+U225)*10)),"")</f>
        <v/>
      </c>
      <c r="Y225">
        <v>157</v>
      </c>
      <c r="AA225">
        <v>20.88</v>
      </c>
      <c r="AB225">
        <v>20.88</v>
      </c>
      <c r="AD225">
        <v>3.82</v>
      </c>
      <c r="AE225" s="11">
        <v>352</v>
      </c>
      <c r="AF225" t="str">
        <f>CONCATENATE(VLOOKUP(AG225, 'Voxel Sizes'!$A$2:$B$18,2,FALSE),"x",INT(AC225*15), "x", INT(AD225*15))</f>
        <v>198x0x57</v>
      </c>
      <c r="AG225">
        <f>ROUND(15*((AB225*10)/256),0)</f>
        <v>12</v>
      </c>
      <c r="AI225" t="str">
        <f>CONCATENATE(VLOOKUP(AG225,Constants!$A$2:$C$16,IF(AH225&lt;&gt;"", 3, 2), FALSE),IF(AH225&lt;&gt;"",CONCATENATE(",",VLOOKUP(AH225,$B:$AI,34,FALSE)),""))</f>
        <v>4,4,4</v>
      </c>
      <c r="AP225">
        <v>40</v>
      </c>
      <c r="AQ225" t="str">
        <f>IF(I225&lt;&gt;"",MAX(8,(I225-G225)-4),"")</f>
        <v/>
      </c>
      <c r="AT225">
        <f>MIN(Y225/150, 1)*30</f>
        <v>30</v>
      </c>
      <c r="AU225">
        <f>MIN(K225/4000, 1)*20</f>
        <v>20</v>
      </c>
      <c r="AV225">
        <f>MIN(W225/400,1)*20</f>
        <v>0</v>
      </c>
      <c r="AW225" s="4">
        <v>1</v>
      </c>
      <c r="AX225">
        <f>((MAX($J225,1)*MIN($AE225/300,1)))*IF(D225="Wagon",50,10)</f>
        <v>10</v>
      </c>
      <c r="AY225">
        <f>VLOOKUP($E225,Constants!$I:$K, 2, FALSE)</f>
        <v>0.85</v>
      </c>
      <c r="AZ225">
        <f>VLOOKUP($E225,Constants!$I:$K, 3, FALSE)*IF(AND(D225="multiple_unit",Y225&lt;110),0.75,1)</f>
        <v>2.2999999999999998</v>
      </c>
      <c r="BA225">
        <f>INT(POWER(((Constants!$G$2+$AT225+$AU225+$AV225+$AX225)*$AW225)*$AZ225, 1.05))+$AS225</f>
        <v>192</v>
      </c>
      <c r="BB225">
        <f>INT(((Constants!$G$1+$AT225+$AU225+$AV225+$AX225)*(1/$AW225))*$AY225)+$AR225</f>
        <v>80</v>
      </c>
      <c r="BL225" t="str">
        <f>VLOOKUP(G225,Eras!$A$2:$C$10, 2, TRUE)</f>
        <v>mod</v>
      </c>
      <c r="BM225" t="s">
        <v>376</v>
      </c>
      <c r="BN225" t="str">
        <f>CONCATENATE(BL225,"_",BM225)</f>
        <v>mod_EMU (Express)</v>
      </c>
      <c r="BO225" t="str">
        <f t="shared" si="12"/>
        <v/>
      </c>
      <c r="BP225" t="str">
        <f t="shared" si="13"/>
        <v/>
      </c>
      <c r="BR225" t="str">
        <f t="shared" si="14"/>
        <v/>
      </c>
      <c r="BS225" t="str">
        <f t="shared" si="15"/>
        <v>{SILVER}</v>
      </c>
    </row>
    <row r="226" spans="1:71" x14ac:dyDescent="0.25">
      <c r="A226" t="s">
        <v>92</v>
      </c>
      <c r="B226" t="s">
        <v>258</v>
      </c>
      <c r="C226">
        <v>508</v>
      </c>
      <c r="D226" t="s">
        <v>455</v>
      </c>
      <c r="E226" t="s">
        <v>607</v>
      </c>
      <c r="F226" t="s">
        <v>606</v>
      </c>
      <c r="G226">
        <v>2009</v>
      </c>
      <c r="J226">
        <v>5</v>
      </c>
      <c r="K226">
        <f>800*2</f>
        <v>1600</v>
      </c>
      <c r="T226">
        <v>212.8</v>
      </c>
      <c r="W226">
        <v>180</v>
      </c>
      <c r="X226" s="4">
        <f>IF(AND(T226&gt;0,W226&gt;0),(W226/((T226+U226)*10)),"")</f>
        <v>8.4586466165413529E-2</v>
      </c>
      <c r="Y226">
        <v>75</v>
      </c>
      <c r="AA226">
        <v>20.399999999999999</v>
      </c>
      <c r="AB226">
        <v>20.399999999999999</v>
      </c>
      <c r="AC226">
        <v>2.8</v>
      </c>
      <c r="AD226">
        <v>3.78</v>
      </c>
      <c r="AE226" s="11">
        <v>90</v>
      </c>
      <c r="AF226" t="str">
        <f>CONCATENATE(VLOOKUP(AG226, 'Voxel Sizes'!$A$2:$B$18,2,FALSE),"x",INT(AC226*15), "x", INT(AD226*15))</f>
        <v>198x42x56</v>
      </c>
      <c r="AG226">
        <f>ROUND(15*((AB226*10)/256),0)</f>
        <v>12</v>
      </c>
      <c r="AI226" t="str">
        <f>CONCATENATE(VLOOKUP(AG226,Constants!$A$2:$C$16,IF(AH226&lt;&gt;"", 3, 2), FALSE),IF(AH226&lt;&gt;"",CONCATENATE(",",VLOOKUP(AH226,$B:$AI,34,FALSE)),""))</f>
        <v>4,4,4</v>
      </c>
      <c r="AK226" t="s">
        <v>655</v>
      </c>
      <c r="AL226" t="s">
        <v>656</v>
      </c>
      <c r="AM226" t="s">
        <v>657</v>
      </c>
      <c r="AP226">
        <v>40</v>
      </c>
      <c r="AQ226" t="str">
        <f>IF(I226&lt;&gt;"",MAX(8,(I226-G226)-4),"")</f>
        <v/>
      </c>
      <c r="AT226">
        <f>MIN(Y226/150, 1)*30</f>
        <v>15</v>
      </c>
      <c r="AU226">
        <f>MIN(K226/4000, 1)*20</f>
        <v>8</v>
      </c>
      <c r="AV226">
        <f>MIN(W226/400,1)*20</f>
        <v>9</v>
      </c>
      <c r="AW226" s="4">
        <v>1</v>
      </c>
      <c r="AX226">
        <f>((MAX($J226,1)*MIN($AE226/300,1)))*IF(D226="Wagon",50,10)</f>
        <v>15</v>
      </c>
      <c r="AY226">
        <f>VLOOKUP($E226,Constants!$I:$K, 2, FALSE)</f>
        <v>0.85</v>
      </c>
      <c r="AZ226">
        <f>VLOOKUP($E226,Constants!$I:$K, 3, FALSE)*IF(AND(D226="multiple_unit",Y226&lt;110),0.75,1)</f>
        <v>1.7999999999999998</v>
      </c>
      <c r="BA226">
        <f>INT(POWER(((Constants!$G$2+$AT226+$AU226+$AV226+$AX226)*$AW226)*$AZ226, 1.05))+$AS226</f>
        <v>117</v>
      </c>
      <c r="BB226">
        <f>INT(((Constants!$G$1+$AT226+$AU226+$AV226+$AX226)*(1/$AW226))*$AY226)+$AR226</f>
        <v>69</v>
      </c>
      <c r="BK226" t="s">
        <v>325</v>
      </c>
      <c r="BL226" t="str">
        <f>VLOOKUP(G226,Eras!$A$2:$C$10, 2, TRUE)</f>
        <v>mod</v>
      </c>
      <c r="BM226" t="s">
        <v>375</v>
      </c>
      <c r="BN226" t="str">
        <f>CONCATENATE(BL226,"_",BM226)</f>
        <v>mod_EMU</v>
      </c>
      <c r="BO226" t="str">
        <f t="shared" si="12"/>
        <v/>
      </c>
      <c r="BP226" t="str">
        <f t="shared" si="13"/>
        <v>{BLACK}Cars: {GOLD}5{}</v>
      </c>
      <c r="BQ226" t="s">
        <v>654</v>
      </c>
      <c r="BR226" t="str">
        <f t="shared" si="14"/>
        <v/>
      </c>
      <c r="BS226" t="str">
        <f t="shared" si="15"/>
        <v>{BLACK}Cars: {GOLD}5{}{SILVER}The Capitalstar is an electric multiple unit designed specifically for the needs of the London Overground, with longitudinal seating, large amounts of standing room and wide doors for fast loading and unloading.</v>
      </c>
    </row>
    <row r="227" spans="1:71" x14ac:dyDescent="0.25">
      <c r="A227" t="s">
        <v>135</v>
      </c>
      <c r="B227" t="s">
        <v>239</v>
      </c>
      <c r="C227">
        <v>602</v>
      </c>
      <c r="D227" t="s">
        <v>323</v>
      </c>
      <c r="E227" t="s">
        <v>1177</v>
      </c>
      <c r="F227" t="s">
        <v>316</v>
      </c>
      <c r="G227">
        <v>1894</v>
      </c>
      <c r="I227">
        <v>1970</v>
      </c>
      <c r="T227">
        <v>20</v>
      </c>
      <c r="X227" s="4" t="str">
        <f>IF(AND(T227&gt;0,W227&gt;0),(W227/((T227+U227)*10)),"")</f>
        <v/>
      </c>
      <c r="Y227">
        <v>70</v>
      </c>
      <c r="AA227">
        <v>7.3</v>
      </c>
      <c r="AB227">
        <v>11</v>
      </c>
      <c r="AE227" s="11">
        <v>0</v>
      </c>
      <c r="AF227" t="str">
        <f>CONCATENATE(VLOOKUP(AG227, 'Voxel Sizes'!$A$2:$B$18,2,FALSE),"x",INT(AC227*15), "x", INT(AD227*15))</f>
        <v>102x0x0</v>
      </c>
      <c r="AG227">
        <f>ROUND(15*((AB227*10)/256),0)</f>
        <v>6</v>
      </c>
      <c r="AI227" t="str">
        <f>CONCATENATE(VLOOKUP(AG227,Constants!$A$2:$C$16,IF(AH227&lt;&gt;"", 3, 2), FALSE),IF(AH227&lt;&gt;"",CONCATENATE(",",VLOOKUP(AH227,$B:$AI,34,FALSE)),""))</f>
        <v>2,2,2</v>
      </c>
      <c r="AP227">
        <v>40</v>
      </c>
      <c r="AQ227">
        <f>IF(I227&lt;&gt;"",MAX(8,(I227-G227)-4),"")</f>
        <v>72</v>
      </c>
      <c r="AT227">
        <f>MIN(Y227/150, 1)*30</f>
        <v>14</v>
      </c>
      <c r="AU227">
        <f>MIN(K227/4000, 1)*20</f>
        <v>0</v>
      </c>
      <c r="AV227">
        <f>MIN(W227/400,1)*20</f>
        <v>0</v>
      </c>
      <c r="AW227" s="4">
        <v>1</v>
      </c>
      <c r="AX227">
        <f>((MAX($J227,1)*MIN($AE227/300,1)))*IF(D227="Wagon",50,10)</f>
        <v>0</v>
      </c>
      <c r="AY227">
        <f>VLOOKUP($E227,Constants!$I:$K, 2, FALSE)</f>
        <v>1</v>
      </c>
      <c r="AZ227">
        <f>VLOOKUP($E227,Constants!$I:$K, 3, FALSE)*IF(AND(D227="multiple_unit",Y227&lt;110),0.75,1)</f>
        <v>0.4</v>
      </c>
      <c r="BA227">
        <f>INT(POWER(((Constants!$G$2+$AT227+$AU227+$AV227+$AX227)*$AW227)*$AZ227, 1.05))+$AS227</f>
        <v>8</v>
      </c>
      <c r="BB227">
        <f>INT(((Constants!$G$1+$AT227+$AU227+$AV227+$AX227)*(1/$AW227))*$AY227)+$AR227</f>
        <v>49</v>
      </c>
      <c r="BJ227" t="s">
        <v>1115</v>
      </c>
      <c r="BK227" t="s">
        <v>763</v>
      </c>
      <c r="BL227" t="str">
        <f>VLOOKUP(G227,Eras!$A$2:$C$10, 2, TRUE)</f>
        <v>vct</v>
      </c>
      <c r="BM227" t="s">
        <v>761</v>
      </c>
      <c r="BN227" t="str">
        <f>CONCATENATE(BL227,"_",BM227)</f>
        <v>vct_Extra</v>
      </c>
      <c r="BO227" t="str">
        <f t="shared" si="12"/>
        <v/>
      </c>
      <c r="BP227" t="str">
        <f t="shared" si="13"/>
        <v/>
      </c>
      <c r="BQ227" t="s">
        <v>762</v>
      </c>
      <c r="BR227" t="str">
        <f t="shared" si="14"/>
        <v>{GOLD}Speed bonus for some loaded wagons{}</v>
      </c>
      <c r="BS227" t="str">
        <f t="shared" si="15"/>
        <v>{GOLD}Speed bonus for some loaded wagons{}{SILVER}The Great Western Railway standardised brake van designs from 1894. The distinctive design includes an open "veranda" at the back of the vehicle.</v>
      </c>
    </row>
    <row r="228" spans="1:71" x14ac:dyDescent="0.25">
      <c r="A228" t="s">
        <v>136</v>
      </c>
      <c r="B228" t="s">
        <v>240</v>
      </c>
      <c r="C228">
        <v>604</v>
      </c>
      <c r="D228" t="s">
        <v>323</v>
      </c>
      <c r="E228" t="s">
        <v>1177</v>
      </c>
      <c r="F228" t="s">
        <v>316</v>
      </c>
      <c r="G228">
        <v>1941</v>
      </c>
      <c r="I228">
        <v>1970</v>
      </c>
      <c r="T228">
        <v>20</v>
      </c>
      <c r="X228" s="4" t="str">
        <f>IF(AND(T228&gt;0,W228&gt;0),(W228/((T228+U228)*10)),"")</f>
        <v/>
      </c>
      <c r="Y228">
        <v>70</v>
      </c>
      <c r="AA228">
        <v>7.3</v>
      </c>
      <c r="AB228">
        <v>11</v>
      </c>
      <c r="AE228" s="11">
        <v>0</v>
      </c>
      <c r="AF228" t="str">
        <f>CONCATENATE(VLOOKUP(AG228, 'Voxel Sizes'!$A$2:$B$18,2,FALSE),"x",INT(AC228*15), "x", INT(AD228*15))</f>
        <v>102x0x0</v>
      </c>
      <c r="AG228">
        <f>ROUND(15*((AB228*10)/256),0)</f>
        <v>6</v>
      </c>
      <c r="AI228" t="str">
        <f>CONCATENATE(VLOOKUP(AG228,Constants!$A$2:$C$16,IF(AH228&lt;&gt;"", 3, 2), FALSE),IF(AH228&lt;&gt;"",CONCATENATE(",",VLOOKUP(AH228,$B:$AI,34,FALSE)),""))</f>
        <v>2,2,2</v>
      </c>
      <c r="AP228">
        <v>40</v>
      </c>
      <c r="AQ228">
        <f>IF(I228&lt;&gt;"",MAX(8,(I228-G228)-4),"")</f>
        <v>25</v>
      </c>
      <c r="AT228">
        <f>MIN(Y228/150, 1)*30</f>
        <v>14</v>
      </c>
      <c r="AU228">
        <f>MIN(K228/4000, 1)*20</f>
        <v>0</v>
      </c>
      <c r="AV228">
        <f>MIN(W228/400,1)*20</f>
        <v>0</v>
      </c>
      <c r="AW228" s="4">
        <v>1</v>
      </c>
      <c r="AX228">
        <f>((MAX($J228,1)*MIN($AE228/300,1)))*IF(D228="Wagon",50,10)</f>
        <v>0</v>
      </c>
      <c r="AY228">
        <f>VLOOKUP($E228,Constants!$I:$K, 2, FALSE)</f>
        <v>1</v>
      </c>
      <c r="AZ228">
        <f>VLOOKUP($E228,Constants!$I:$K, 3, FALSE)*IF(AND(D228="multiple_unit",Y228&lt;110),0.75,1)</f>
        <v>0.4</v>
      </c>
      <c r="BA228">
        <f>INT(POWER(((Constants!$G$2+$AT228+$AU228+$AV228+$AX228)*$AW228)*$AZ228, 1.05))+$AS228</f>
        <v>8</v>
      </c>
      <c r="BB228">
        <f>INT(((Constants!$G$1+$AT228+$AU228+$AV228+$AX228)*(1/$AW228))*$AY228)+$AR228</f>
        <v>49</v>
      </c>
      <c r="BJ228" t="s">
        <v>1115</v>
      </c>
      <c r="BK228" t="s">
        <v>763</v>
      </c>
      <c r="BL228" t="str">
        <f>VLOOKUP(G228,Eras!$A$2:$C$10, 2, TRUE)</f>
        <v>big4</v>
      </c>
      <c r="BM228" t="s">
        <v>761</v>
      </c>
      <c r="BN228" t="str">
        <f>CONCATENATE(BL228,"_",BM228)</f>
        <v>big4_Extra</v>
      </c>
      <c r="BO228" t="str">
        <f t="shared" si="12"/>
        <v/>
      </c>
      <c r="BP228" t="str">
        <f t="shared" si="13"/>
        <v/>
      </c>
      <c r="BQ228" t="s">
        <v>776</v>
      </c>
      <c r="BR228" t="str">
        <f t="shared" si="14"/>
        <v>{GOLD}Speed bonus for some loaded wagons{}</v>
      </c>
      <c r="BS228" t="str">
        <f t="shared" si="15"/>
        <v>{GOLD}Speed bonus for some loaded wagons{}{SILVER}BR inherited a large number of brake vans from the Big Four, but quickly set about introducing their own standard model based on 1940s LNER practice.</v>
      </c>
    </row>
    <row r="229" spans="1:71" x14ac:dyDescent="0.25">
      <c r="A229" t="s">
        <v>137</v>
      </c>
      <c r="B229" t="s">
        <v>241</v>
      </c>
      <c r="D229" t="s">
        <v>169</v>
      </c>
      <c r="E229" t="s">
        <v>1177</v>
      </c>
      <c r="F229" t="s">
        <v>316</v>
      </c>
      <c r="X229" s="4" t="str">
        <f>IF(AND(T229&gt;0,W229&gt;0),(W229/((T229+U229)*10)),"")</f>
        <v/>
      </c>
      <c r="AF229" t="str">
        <f>CONCATENATE(VLOOKUP(AG229, 'Voxel Sizes'!$A$2:$B$18,2,FALSE),"x",INT(AC229*15), "x", INT(AD229*15))</f>
        <v>0x0x0</v>
      </c>
      <c r="AG229">
        <f>ROUND(15*((AB229*10)/256),0)</f>
        <v>0</v>
      </c>
      <c r="AI229" t="str">
        <f>CONCATENATE(VLOOKUP(AG229,Constants!$A$2:$C$16,IF(AH229&lt;&gt;"", 3, 2), FALSE),IF(AH229&lt;&gt;"",CONCATENATE(",",VLOOKUP(AH229,$B:$AI,34,FALSE)),""))</f>
        <v>na</v>
      </c>
      <c r="AP229">
        <v>40</v>
      </c>
      <c r="AQ229" t="str">
        <f>IF(I229&lt;&gt;"",MAX(8,(I229-G229)-4),"")</f>
        <v/>
      </c>
      <c r="AT229">
        <f>MIN(Y229/150, 1)*30</f>
        <v>0</v>
      </c>
      <c r="AU229">
        <f>MIN(K229/4000, 1)*20</f>
        <v>0</v>
      </c>
      <c r="AV229">
        <f>MIN(W229/400,1)*20</f>
        <v>0</v>
      </c>
      <c r="AW229" s="4">
        <v>1</v>
      </c>
      <c r="AX229">
        <f>((MAX($J229,1)*MIN($AE229/300,1)))*IF(D229="Wagon",50,10)</f>
        <v>0</v>
      </c>
      <c r="AY229">
        <f>VLOOKUP($E229,Constants!$I:$K, 2, FALSE)</f>
        <v>1</v>
      </c>
      <c r="AZ229">
        <f>VLOOKUP($E229,Constants!$I:$K, 3, FALSE)*IF(AND(D229="multiple_unit",Y229&lt;110),0.75,1)</f>
        <v>0.4</v>
      </c>
      <c r="BA229">
        <f>INT(POWER(((Constants!$G$2+$AT229+$AU229+$AV229+$AX229)*$AW229)*$AZ229, 1.05))+$AS229</f>
        <v>2</v>
      </c>
      <c r="BB229">
        <f>INT(((Constants!$G$1+$AT229+$AU229+$AV229+$AX229)*(1/$AW229))*$AY229)+$AR229</f>
        <v>35</v>
      </c>
      <c r="BL229" t="e">
        <f>VLOOKUP(G229,Eras!$A$2:$C$10, 2, TRUE)</f>
        <v>#N/A</v>
      </c>
      <c r="BN229" t="e">
        <f>CONCATENATE(BL229,"_",BM229)</f>
        <v>#N/A</v>
      </c>
      <c r="BO229" t="str">
        <f t="shared" si="12"/>
        <v/>
      </c>
      <c r="BP229" t="str">
        <f t="shared" si="13"/>
        <v/>
      </c>
      <c r="BR229" t="str">
        <f t="shared" si="14"/>
        <v/>
      </c>
      <c r="BS229" t="str">
        <f t="shared" si="15"/>
        <v>{SILVER}</v>
      </c>
    </row>
    <row r="230" spans="1:71" x14ac:dyDescent="0.25">
      <c r="A230" t="s">
        <v>126</v>
      </c>
      <c r="B230" t="s">
        <v>295</v>
      </c>
      <c r="D230" t="s">
        <v>169</v>
      </c>
      <c r="E230" t="s">
        <v>1175</v>
      </c>
      <c r="F230" t="s">
        <v>316</v>
      </c>
      <c r="X230" s="4" t="str">
        <f>IF(AND(T230&gt;0,W230&gt;0),(W230/((T230+U230)*10)),"")</f>
        <v/>
      </c>
      <c r="AF230" t="str">
        <f>CONCATENATE(VLOOKUP(AG230, 'Voxel Sizes'!$A$2:$B$18,2,FALSE),"x",INT(AC230*15), "x", INT(AD230*15))</f>
        <v>0x0x0</v>
      </c>
      <c r="AG230">
        <f>ROUND(15*((AB230*10)/256),0)</f>
        <v>0</v>
      </c>
      <c r="AI230" t="str">
        <f>CONCATENATE(VLOOKUP(AG230,Constants!$A$2:$C$16,IF(AH230&lt;&gt;"", 3, 2), FALSE),IF(AH230&lt;&gt;"",CONCATENATE(",",VLOOKUP(AH230,$B:$AI,34,FALSE)),""))</f>
        <v>na</v>
      </c>
      <c r="AP230">
        <v>40</v>
      </c>
      <c r="AQ230" t="str">
        <f>IF(I230&lt;&gt;"",MAX(8,(I230-G230)-4),"")</f>
        <v/>
      </c>
      <c r="AT230">
        <f>MIN(Y230/150, 1)*30</f>
        <v>0</v>
      </c>
      <c r="AU230">
        <f>MIN(K230/4000, 1)*20</f>
        <v>0</v>
      </c>
      <c r="AV230">
        <f>MIN(W230/400,1)*20</f>
        <v>0</v>
      </c>
      <c r="AW230" s="4">
        <v>1</v>
      </c>
      <c r="AX230">
        <f>((MAX($J230,1)*MIN($AE230/300,1)))*IF(D230="Wagon",50,10)</f>
        <v>0</v>
      </c>
      <c r="AY230">
        <f>VLOOKUP($E230,Constants!$I:$K, 2, FALSE)</f>
        <v>1.2</v>
      </c>
      <c r="AZ230">
        <f>VLOOKUP($E230,Constants!$I:$K, 3, FALSE)*IF(AND(D230="multiple_unit",Y230&lt;110),0.75,1)</f>
        <v>0.6</v>
      </c>
      <c r="BA230">
        <f>INT(POWER(((Constants!$G$2+$AT230+$AU230+$AV230+$AX230)*$AW230)*$AZ230, 1.05))+$AS230</f>
        <v>3</v>
      </c>
      <c r="BB230">
        <f>INT(((Constants!$G$1+$AT230+$AU230+$AV230+$AX230)*(1/$AW230))*$AY230)+$AR230</f>
        <v>42</v>
      </c>
      <c r="BL230" t="e">
        <f>VLOOKUP(G230,Eras!$A$2:$C$10, 2, TRUE)</f>
        <v>#N/A</v>
      </c>
      <c r="BN230" t="e">
        <f>CONCATENATE(BL230,"_",BM230)</f>
        <v>#N/A</v>
      </c>
      <c r="BO230" t="str">
        <f t="shared" si="12"/>
        <v/>
      </c>
      <c r="BP230" t="str">
        <f t="shared" si="13"/>
        <v/>
      </c>
      <c r="BR230" t="str">
        <f t="shared" si="14"/>
        <v/>
      </c>
      <c r="BS230" t="str">
        <f t="shared" si="15"/>
        <v>{SILVER}</v>
      </c>
    </row>
    <row r="231" spans="1:71" x14ac:dyDescent="0.25">
      <c r="A231" t="s">
        <v>127</v>
      </c>
      <c r="B231" t="s">
        <v>296</v>
      </c>
      <c r="D231" t="s">
        <v>169</v>
      </c>
      <c r="E231" t="s">
        <v>1175</v>
      </c>
      <c r="F231" t="s">
        <v>316</v>
      </c>
      <c r="X231" s="4" t="str">
        <f>IF(AND(T231&gt;0,W231&gt;0),(W231/((T231+U231)*10)),"")</f>
        <v/>
      </c>
      <c r="AF231" t="str">
        <f>CONCATENATE(VLOOKUP(AG231, 'Voxel Sizes'!$A$2:$B$18,2,FALSE),"x",INT(AC231*15), "x", INT(AD231*15))</f>
        <v>0x0x0</v>
      </c>
      <c r="AG231">
        <f>ROUND(15*((AB231*10)/256),0)</f>
        <v>0</v>
      </c>
      <c r="AI231" t="str">
        <f>CONCATENATE(VLOOKUP(AG231,Constants!$A$2:$C$16,IF(AH231&lt;&gt;"", 3, 2), FALSE),IF(AH231&lt;&gt;"",CONCATENATE(",",VLOOKUP(AH231,$B:$AI,34,FALSE)),""))</f>
        <v>na</v>
      </c>
      <c r="AP231">
        <v>40</v>
      </c>
      <c r="AQ231" t="str">
        <f>IF(I231&lt;&gt;"",MAX(8,(I231-G231)-4),"")</f>
        <v/>
      </c>
      <c r="AT231">
        <f>MIN(Y231/150, 1)*30</f>
        <v>0</v>
      </c>
      <c r="AU231">
        <f>MIN(K231/4000, 1)*20</f>
        <v>0</v>
      </c>
      <c r="AV231">
        <f>MIN(W231/400,1)*20</f>
        <v>0</v>
      </c>
      <c r="AW231" s="4">
        <v>1</v>
      </c>
      <c r="AX231">
        <f>((MAX($J231,1)*MIN($AE231/300,1)))*IF(D231="Wagon",50,10)</f>
        <v>0</v>
      </c>
      <c r="AY231">
        <f>VLOOKUP($E231,Constants!$I:$K, 2, FALSE)</f>
        <v>1.2</v>
      </c>
      <c r="AZ231">
        <f>VLOOKUP($E231,Constants!$I:$K, 3, FALSE)*IF(AND(D231="multiple_unit",Y231&lt;110),0.75,1)</f>
        <v>0.6</v>
      </c>
      <c r="BA231">
        <f>INT(POWER(((Constants!$G$2+$AT231+$AU231+$AV231+$AX231)*$AW231)*$AZ231, 1.05))+$AS231</f>
        <v>3</v>
      </c>
      <c r="BB231">
        <f>INT(((Constants!$G$1+$AT231+$AU231+$AV231+$AX231)*(1/$AW231))*$AY231)+$AR231</f>
        <v>42</v>
      </c>
      <c r="BL231" t="e">
        <f>VLOOKUP(G231,Eras!$A$2:$C$10, 2, TRUE)</f>
        <v>#N/A</v>
      </c>
      <c r="BN231" t="e">
        <f>CONCATENATE(BL231,"_",BM231)</f>
        <v>#N/A</v>
      </c>
      <c r="BO231" t="str">
        <f t="shared" si="12"/>
        <v/>
      </c>
      <c r="BP231" t="str">
        <f t="shared" si="13"/>
        <v/>
      </c>
      <c r="BR231" t="str">
        <f t="shared" si="14"/>
        <v/>
      </c>
      <c r="BS231" t="str">
        <f t="shared" si="15"/>
        <v>{SILVER}</v>
      </c>
    </row>
    <row r="232" spans="1:71" x14ac:dyDescent="0.25">
      <c r="A232" t="s">
        <v>130</v>
      </c>
      <c r="B232" t="s">
        <v>238</v>
      </c>
      <c r="D232" t="s">
        <v>169</v>
      </c>
      <c r="E232" t="s">
        <v>1175</v>
      </c>
      <c r="F232" t="s">
        <v>316</v>
      </c>
      <c r="X232" s="4" t="str">
        <f>IF(AND(T232&gt;0,W232&gt;0),(W232/((T232+U232)*10)),"")</f>
        <v/>
      </c>
      <c r="AF232" t="str">
        <f>CONCATENATE(VLOOKUP(AG232, 'Voxel Sizes'!$A$2:$B$18,2,FALSE),"x",INT(AC232*15), "x", INT(AD232*15))</f>
        <v>0x0x0</v>
      </c>
      <c r="AG232">
        <f>ROUND(15*((AB232*10)/256),0)</f>
        <v>0</v>
      </c>
      <c r="AI232" t="str">
        <f>CONCATENATE(VLOOKUP(AG232,Constants!$A$2:$C$16,IF(AH232&lt;&gt;"", 3, 2), FALSE),IF(AH232&lt;&gt;"",CONCATENATE(",",VLOOKUP(AH232,$B:$AI,34,FALSE)),""))</f>
        <v>na</v>
      </c>
      <c r="AP232">
        <v>40</v>
      </c>
      <c r="AQ232" t="str">
        <f>IF(I232&lt;&gt;"",MAX(8,(I232-G232)-4),"")</f>
        <v/>
      </c>
      <c r="AT232">
        <f>MIN(Y232/150, 1)*30</f>
        <v>0</v>
      </c>
      <c r="AU232">
        <f>MIN(K232/4000, 1)*20</f>
        <v>0</v>
      </c>
      <c r="AV232">
        <f>MIN(W232/400,1)*20</f>
        <v>0</v>
      </c>
      <c r="AW232" s="4">
        <v>1</v>
      </c>
      <c r="AX232">
        <f>((MAX($J232,1)*MIN($AE232/300,1)))*IF(D232="Wagon",50,10)</f>
        <v>0</v>
      </c>
      <c r="AY232">
        <f>VLOOKUP($E232,Constants!$I:$K, 2, FALSE)</f>
        <v>1.2</v>
      </c>
      <c r="AZ232">
        <f>VLOOKUP($E232,Constants!$I:$K, 3, FALSE)*IF(AND(D232="multiple_unit",Y232&lt;110),0.75,1)</f>
        <v>0.6</v>
      </c>
      <c r="BA232">
        <f>INT(POWER(((Constants!$G$2+$AT232+$AU232+$AV232+$AX232)*$AW232)*$AZ232, 1.05))+$AS232</f>
        <v>3</v>
      </c>
      <c r="BB232">
        <f>INT(((Constants!$G$1+$AT232+$AU232+$AV232+$AX232)*(1/$AW232))*$AY232)+$AR232</f>
        <v>42</v>
      </c>
      <c r="BL232" t="e">
        <f>VLOOKUP(G232,Eras!$A$2:$C$10, 2, TRUE)</f>
        <v>#N/A</v>
      </c>
      <c r="BN232" t="e">
        <f>CONCATENATE(BL232,"_",BM232)</f>
        <v>#N/A</v>
      </c>
      <c r="BO232" t="str">
        <f t="shared" si="12"/>
        <v/>
      </c>
      <c r="BP232" t="str">
        <f t="shared" si="13"/>
        <v/>
      </c>
      <c r="BR232" t="str">
        <f t="shared" si="14"/>
        <v/>
      </c>
      <c r="BS232" t="str">
        <f t="shared" si="15"/>
        <v>{SILVER}</v>
      </c>
    </row>
    <row r="233" spans="1:71" x14ac:dyDescent="0.25">
      <c r="A233" t="s">
        <v>107</v>
      </c>
      <c r="B233" t="s">
        <v>269</v>
      </c>
      <c r="D233" t="s">
        <v>169</v>
      </c>
      <c r="E233" t="s">
        <v>1178</v>
      </c>
      <c r="F233" t="s">
        <v>316</v>
      </c>
      <c r="X233" s="4" t="str">
        <f>IF(AND(T233&gt;0,W233&gt;0),(W233/((T233+U233)*10)),"")</f>
        <v/>
      </c>
      <c r="AF233" t="str">
        <f>CONCATENATE(VLOOKUP(AG233, 'Voxel Sizes'!$A$2:$B$18,2,FALSE),"x",INT(AC233*15), "x", INT(AD233*15))</f>
        <v>0x0x0</v>
      </c>
      <c r="AG233">
        <f>ROUND(15*((AB233*10)/256),0)</f>
        <v>0</v>
      </c>
      <c r="AI233" t="str">
        <f>CONCATENATE(VLOOKUP(AG233,Constants!$A$2:$C$16,IF(AH233&lt;&gt;"", 3, 2), FALSE),IF(AH233&lt;&gt;"",CONCATENATE(",",VLOOKUP(AH233,$B:$AI,34,FALSE)),""))</f>
        <v>na</v>
      </c>
      <c r="AP233">
        <v>40</v>
      </c>
      <c r="AQ233" t="str">
        <f>IF(I233&lt;&gt;"",MAX(8,(I233-G233)-4),"")</f>
        <v/>
      </c>
      <c r="AT233">
        <f>MIN(Y233/150, 1)*30</f>
        <v>0</v>
      </c>
      <c r="AU233">
        <f>MIN(K233/4000, 1)*20</f>
        <v>0</v>
      </c>
      <c r="AV233">
        <f>MIN(W233/400,1)*20</f>
        <v>0</v>
      </c>
      <c r="AW233" s="4">
        <v>1</v>
      </c>
      <c r="AX233">
        <f>((MAX($J233,1)*MIN($AE233/300,1)))*IF(D233="Wagon",50,10)</f>
        <v>0</v>
      </c>
      <c r="AY233">
        <f>VLOOKUP($E233,Constants!$I:$K, 2, FALSE)</f>
        <v>1</v>
      </c>
      <c r="AZ233">
        <f>VLOOKUP($E233,Constants!$I:$K, 3, FALSE)*IF(AND(D233="multiple_unit",Y233&lt;110),0.75,1)</f>
        <v>1</v>
      </c>
      <c r="BA233">
        <f>INT(POWER(((Constants!$G$2+$AT233+$AU233+$AV233+$AX233)*$AW233)*$AZ233, 1.05))+$AS233</f>
        <v>5</v>
      </c>
      <c r="BB233">
        <f>INT(((Constants!$G$1+$AT233+$AU233+$AV233+$AX233)*(1/$AW233))*$AY233)+$AR233</f>
        <v>35</v>
      </c>
      <c r="BL233" t="e">
        <f>VLOOKUP(G233,Eras!$A$2:$C$10, 2, TRUE)</f>
        <v>#N/A</v>
      </c>
      <c r="BN233" t="e">
        <f>CONCATENATE(BL233,"_",BM233)</f>
        <v>#N/A</v>
      </c>
      <c r="BO233" t="str">
        <f t="shared" si="12"/>
        <v/>
      </c>
      <c r="BP233" t="str">
        <f t="shared" si="13"/>
        <v/>
      </c>
      <c r="BR233" t="str">
        <f t="shared" si="14"/>
        <v/>
      </c>
      <c r="BS233" t="str">
        <f t="shared" si="15"/>
        <v>{SILVER}</v>
      </c>
    </row>
    <row r="234" spans="1:71" x14ac:dyDescent="0.25">
      <c r="A234" t="s">
        <v>109</v>
      </c>
      <c r="B234" t="s">
        <v>223</v>
      </c>
      <c r="D234" t="s">
        <v>169</v>
      </c>
      <c r="E234" t="s">
        <v>1178</v>
      </c>
      <c r="F234" t="s">
        <v>316</v>
      </c>
      <c r="X234" s="4" t="str">
        <f>IF(AND(T234&gt;0,W234&gt;0),(W234/((T234+U234)*10)),"")</f>
        <v/>
      </c>
      <c r="AF234" t="str">
        <f>CONCATENATE(VLOOKUP(AG234, 'Voxel Sizes'!$A$2:$B$18,2,FALSE),"x",INT(AC234*15), "x", INT(AD234*15))</f>
        <v>0x0x0</v>
      </c>
      <c r="AG234">
        <f>ROUND(15*((AB234*10)/256),0)</f>
        <v>0</v>
      </c>
      <c r="AI234" t="str">
        <f>CONCATENATE(VLOOKUP(AG234,Constants!$A$2:$C$16,IF(AH234&lt;&gt;"", 3, 2), FALSE),IF(AH234&lt;&gt;"",CONCATENATE(",",VLOOKUP(AH234,$B:$AI,34,FALSE)),""))</f>
        <v>na</v>
      </c>
      <c r="AP234">
        <v>40</v>
      </c>
      <c r="AQ234" t="str">
        <f>IF(I234&lt;&gt;"",MAX(8,(I234-G234)-4),"")</f>
        <v/>
      </c>
      <c r="AT234">
        <f>MIN(Y234/150, 1)*30</f>
        <v>0</v>
      </c>
      <c r="AU234">
        <f>MIN(K234/4000, 1)*20</f>
        <v>0</v>
      </c>
      <c r="AV234">
        <f>MIN(W234/400,1)*20</f>
        <v>0</v>
      </c>
      <c r="AW234" s="4">
        <v>1</v>
      </c>
      <c r="AX234">
        <f>((MAX($J234,1)*MIN($AE234/300,1)))*IF(D234="Wagon",50,10)</f>
        <v>0</v>
      </c>
      <c r="AY234">
        <f>VLOOKUP($E234,Constants!$I:$K, 2, FALSE)</f>
        <v>1</v>
      </c>
      <c r="AZ234">
        <f>VLOOKUP($E234,Constants!$I:$K, 3, FALSE)*IF(AND(D234="multiple_unit",Y234&lt;110),0.75,1)</f>
        <v>1</v>
      </c>
      <c r="BA234">
        <f>INT(POWER(((Constants!$G$2+$AT234+$AU234+$AV234+$AX234)*$AW234)*$AZ234, 1.05))+$AS234</f>
        <v>5</v>
      </c>
      <c r="BB234">
        <f>INT(((Constants!$G$1+$AT234+$AU234+$AV234+$AX234)*(1/$AW234))*$AY234)+$AR234</f>
        <v>35</v>
      </c>
      <c r="BL234" t="e">
        <f>VLOOKUP(G234,Eras!$A$2:$C$10, 2, TRUE)</f>
        <v>#N/A</v>
      </c>
      <c r="BN234" t="e">
        <f>CONCATENATE(BL234,"_",BM234)</f>
        <v>#N/A</v>
      </c>
      <c r="BO234" t="str">
        <f t="shared" si="12"/>
        <v/>
      </c>
      <c r="BP234" t="str">
        <f t="shared" si="13"/>
        <v/>
      </c>
      <c r="BR234" t="str">
        <f t="shared" si="14"/>
        <v/>
      </c>
      <c r="BS234" t="str">
        <f t="shared" si="15"/>
        <v>{SILVER}</v>
      </c>
    </row>
    <row r="235" spans="1:71" x14ac:dyDescent="0.25">
      <c r="A235" t="s">
        <v>110</v>
      </c>
      <c r="B235" t="s">
        <v>224</v>
      </c>
      <c r="D235" t="s">
        <v>169</v>
      </c>
      <c r="E235" t="s">
        <v>1178</v>
      </c>
      <c r="F235" t="s">
        <v>316</v>
      </c>
      <c r="X235" s="4" t="str">
        <f>IF(AND(T235&gt;0,W235&gt;0),(W235/((T235+U235)*10)),"")</f>
        <v/>
      </c>
      <c r="AF235" t="str">
        <f>CONCATENATE(VLOOKUP(AG235, 'Voxel Sizes'!$A$2:$B$18,2,FALSE),"x",INT(AC235*15), "x", INT(AD235*15))</f>
        <v>0x0x0</v>
      </c>
      <c r="AG235">
        <f>ROUND(15*((AB235*10)/256),0)</f>
        <v>0</v>
      </c>
      <c r="AI235" t="str">
        <f>CONCATENATE(VLOOKUP(AG235,Constants!$A$2:$C$16,IF(AH235&lt;&gt;"", 3, 2), FALSE),IF(AH235&lt;&gt;"",CONCATENATE(",",VLOOKUP(AH235,$B:$AI,34,FALSE)),""))</f>
        <v>na</v>
      </c>
      <c r="AP235">
        <v>40</v>
      </c>
      <c r="AQ235" t="str">
        <f>IF(I235&lt;&gt;"",MAX(8,(I235-G235)-4),"")</f>
        <v/>
      </c>
      <c r="AT235">
        <f>MIN(Y235/150, 1)*30</f>
        <v>0</v>
      </c>
      <c r="AU235">
        <f>MIN(K235/4000, 1)*20</f>
        <v>0</v>
      </c>
      <c r="AV235">
        <f>MIN(W235/400,1)*20</f>
        <v>0</v>
      </c>
      <c r="AW235" s="4">
        <v>1</v>
      </c>
      <c r="AX235">
        <f>((MAX($J235,1)*MIN($AE235/300,1)))*IF(D235="Wagon",50,10)</f>
        <v>0</v>
      </c>
      <c r="AY235">
        <f>VLOOKUP($E235,Constants!$I:$K, 2, FALSE)</f>
        <v>1</v>
      </c>
      <c r="AZ235">
        <f>VLOOKUP($E235,Constants!$I:$K, 3, FALSE)*IF(AND(D235="multiple_unit",Y235&lt;110),0.75,1)</f>
        <v>1</v>
      </c>
      <c r="BA235">
        <f>INT(POWER(((Constants!$G$2+$AT235+$AU235+$AV235+$AX235)*$AW235)*$AZ235, 1.05))+$AS235</f>
        <v>5</v>
      </c>
      <c r="BB235">
        <f>INT(((Constants!$G$1+$AT235+$AU235+$AV235+$AX235)*(1/$AW235))*$AY235)+$AR235</f>
        <v>35</v>
      </c>
      <c r="BL235" t="e">
        <f>VLOOKUP(G235,Eras!$A$2:$C$10, 2, TRUE)</f>
        <v>#N/A</v>
      </c>
      <c r="BN235" t="e">
        <f>CONCATENATE(BL235,"_",BM235)</f>
        <v>#N/A</v>
      </c>
      <c r="BO235" t="str">
        <f t="shared" si="12"/>
        <v/>
      </c>
      <c r="BP235" t="str">
        <f t="shared" si="13"/>
        <v/>
      </c>
      <c r="BR235" t="str">
        <f t="shared" si="14"/>
        <v/>
      </c>
      <c r="BS235" t="str">
        <f t="shared" si="15"/>
        <v>{SILVER}</v>
      </c>
    </row>
    <row r="236" spans="1:71" x14ac:dyDescent="0.25">
      <c r="A236" t="s">
        <v>111</v>
      </c>
      <c r="B236" t="s">
        <v>267</v>
      </c>
      <c r="D236" t="s">
        <v>169</v>
      </c>
      <c r="E236" t="s">
        <v>1178</v>
      </c>
      <c r="F236" t="s">
        <v>316</v>
      </c>
      <c r="X236" s="4" t="str">
        <f>IF(AND(T236&gt;0,W236&gt;0),(W236/((T236+U236)*10)),"")</f>
        <v/>
      </c>
      <c r="AF236" t="str">
        <f>CONCATENATE(VLOOKUP(AG236, 'Voxel Sizes'!$A$2:$B$18,2,FALSE),"x",INT(AC236*15), "x", INT(AD236*15))</f>
        <v>0x0x0</v>
      </c>
      <c r="AG236">
        <f>ROUND(15*((AB236*10)/256),0)</f>
        <v>0</v>
      </c>
      <c r="AI236" t="str">
        <f>CONCATENATE(VLOOKUP(AG236,Constants!$A$2:$C$16,IF(AH236&lt;&gt;"", 3, 2), FALSE),IF(AH236&lt;&gt;"",CONCATENATE(",",VLOOKUP(AH236,$B:$AI,34,FALSE)),""))</f>
        <v>na</v>
      </c>
      <c r="AP236">
        <v>40</v>
      </c>
      <c r="AQ236" t="str">
        <f>IF(I236&lt;&gt;"",MAX(8,(I236-G236)-4),"")</f>
        <v/>
      </c>
      <c r="AT236">
        <f>MIN(Y236/150, 1)*30</f>
        <v>0</v>
      </c>
      <c r="AU236">
        <f>MIN(K236/4000, 1)*20</f>
        <v>0</v>
      </c>
      <c r="AV236">
        <f>MIN(W236/400,1)*20</f>
        <v>0</v>
      </c>
      <c r="AW236" s="4">
        <v>1</v>
      </c>
      <c r="AX236">
        <f>((MAX($J236,1)*MIN($AE236/300,1)))*IF(D236="Wagon",50,10)</f>
        <v>0</v>
      </c>
      <c r="AY236">
        <f>VLOOKUP($E236,Constants!$I:$K, 2, FALSE)</f>
        <v>1</v>
      </c>
      <c r="AZ236">
        <f>VLOOKUP($E236,Constants!$I:$K, 3, FALSE)*IF(AND(D236="multiple_unit",Y236&lt;110),0.75,1)</f>
        <v>1</v>
      </c>
      <c r="BA236">
        <f>INT(POWER(((Constants!$G$2+$AT236+$AU236+$AV236+$AX236)*$AW236)*$AZ236, 1.05))+$AS236</f>
        <v>5</v>
      </c>
      <c r="BB236">
        <f>INT(((Constants!$G$1+$AT236+$AU236+$AV236+$AX236)*(1/$AW236))*$AY236)+$AR236</f>
        <v>35</v>
      </c>
      <c r="BL236" t="e">
        <f>VLOOKUP(G236,Eras!$A$2:$C$10, 2, TRUE)</f>
        <v>#N/A</v>
      </c>
      <c r="BN236" t="e">
        <f>CONCATENATE(BL236,"_",BM236)</f>
        <v>#N/A</v>
      </c>
      <c r="BO236" t="str">
        <f t="shared" si="12"/>
        <v/>
      </c>
      <c r="BP236" t="str">
        <f t="shared" si="13"/>
        <v/>
      </c>
      <c r="BR236" t="str">
        <f t="shared" si="14"/>
        <v/>
      </c>
      <c r="BS236" t="str">
        <f t="shared" si="15"/>
        <v>{SILVER}</v>
      </c>
    </row>
    <row r="237" spans="1:71" x14ac:dyDescent="0.25">
      <c r="A237" t="s">
        <v>112</v>
      </c>
      <c r="B237" t="s">
        <v>293</v>
      </c>
      <c r="D237" t="s">
        <v>169</v>
      </c>
      <c r="E237" t="s">
        <v>1178</v>
      </c>
      <c r="F237" t="s">
        <v>316</v>
      </c>
      <c r="X237" s="4" t="str">
        <f>IF(AND(T237&gt;0,W237&gt;0),(W237/((T237+U237)*10)),"")</f>
        <v/>
      </c>
      <c r="AF237" t="str">
        <f>CONCATENATE(VLOOKUP(AG237, 'Voxel Sizes'!$A$2:$B$18,2,FALSE),"x",INT(AC237*15), "x", INT(AD237*15))</f>
        <v>0x0x0</v>
      </c>
      <c r="AG237">
        <f>ROUND(15*((AB237*10)/256),0)</f>
        <v>0</v>
      </c>
      <c r="AI237" t="str">
        <f>CONCATENATE(VLOOKUP(AG237,Constants!$A$2:$C$16,IF(AH237&lt;&gt;"", 3, 2), FALSE),IF(AH237&lt;&gt;"",CONCATENATE(",",VLOOKUP(AH237,$B:$AI,34,FALSE)),""))</f>
        <v>na</v>
      </c>
      <c r="AP237">
        <v>40</v>
      </c>
      <c r="AQ237" t="str">
        <f>IF(I237&lt;&gt;"",MAX(8,(I237-G237)-4),"")</f>
        <v/>
      </c>
      <c r="AT237">
        <f>MIN(Y237/150, 1)*30</f>
        <v>0</v>
      </c>
      <c r="AU237">
        <f>MIN(K237/4000, 1)*20</f>
        <v>0</v>
      </c>
      <c r="AV237">
        <f>MIN(W237/400,1)*20</f>
        <v>0</v>
      </c>
      <c r="AW237" s="4">
        <v>1</v>
      </c>
      <c r="AX237">
        <f>((MAX($J237,1)*MIN($AE237/300,1)))*IF(D237="Wagon",50,10)</f>
        <v>0</v>
      </c>
      <c r="AY237">
        <f>VLOOKUP($E237,Constants!$I:$K, 2, FALSE)</f>
        <v>1</v>
      </c>
      <c r="AZ237">
        <f>VLOOKUP($E237,Constants!$I:$K, 3, FALSE)*IF(AND(D237="multiple_unit",Y237&lt;110),0.75,1)</f>
        <v>1</v>
      </c>
      <c r="BA237">
        <f>INT(POWER(((Constants!$G$2+$AT237+$AU237+$AV237+$AX237)*$AW237)*$AZ237, 1.05))+$AS237</f>
        <v>5</v>
      </c>
      <c r="BB237">
        <f>INT(((Constants!$G$1+$AT237+$AU237+$AV237+$AX237)*(1/$AW237))*$AY237)+$AR237</f>
        <v>35</v>
      </c>
      <c r="BL237" t="e">
        <f>VLOOKUP(G237,Eras!$A$2:$C$10, 2, TRUE)</f>
        <v>#N/A</v>
      </c>
      <c r="BM237" t="s">
        <v>387</v>
      </c>
      <c r="BN237" t="e">
        <f>CONCATENATE(BL237,"_",BM237)</f>
        <v>#N/A</v>
      </c>
      <c r="BO237" t="str">
        <f t="shared" si="12"/>
        <v/>
      </c>
      <c r="BP237" t="str">
        <f t="shared" si="13"/>
        <v/>
      </c>
      <c r="BR237" t="str">
        <f t="shared" si="14"/>
        <v/>
      </c>
      <c r="BS237" t="str">
        <f t="shared" si="15"/>
        <v>{SILVER}</v>
      </c>
    </row>
    <row r="238" spans="1:71" x14ac:dyDescent="0.25">
      <c r="A238" t="s">
        <v>113</v>
      </c>
      <c r="B238" t="s">
        <v>225</v>
      </c>
      <c r="D238" t="s">
        <v>169</v>
      </c>
      <c r="E238" t="s">
        <v>1178</v>
      </c>
      <c r="F238" t="s">
        <v>316</v>
      </c>
      <c r="X238" s="4" t="str">
        <f>IF(AND(T238&gt;0,W238&gt;0),(W238/((T238+U238)*10)),"")</f>
        <v/>
      </c>
      <c r="AF238" t="str">
        <f>CONCATENATE(VLOOKUP(AG238, 'Voxel Sizes'!$A$2:$B$18,2,FALSE),"x",INT(AC238*15), "x", INT(AD238*15))</f>
        <v>0x0x0</v>
      </c>
      <c r="AG238">
        <f>ROUND(15*((AB238*10)/256),0)</f>
        <v>0</v>
      </c>
      <c r="AI238" t="str">
        <f>CONCATENATE(VLOOKUP(AG238,Constants!$A$2:$C$16,IF(AH238&lt;&gt;"", 3, 2), FALSE),IF(AH238&lt;&gt;"",CONCATENATE(",",VLOOKUP(AH238,$B:$AI,34,FALSE)),""))</f>
        <v>na</v>
      </c>
      <c r="AP238">
        <v>40</v>
      </c>
      <c r="AQ238" t="str">
        <f>IF(I238&lt;&gt;"",MAX(8,(I238-G238)-4),"")</f>
        <v/>
      </c>
      <c r="AT238">
        <f>MIN(Y238/150, 1)*30</f>
        <v>0</v>
      </c>
      <c r="AU238">
        <f>MIN(K238/4000, 1)*20</f>
        <v>0</v>
      </c>
      <c r="AV238">
        <f>MIN(W238/400,1)*20</f>
        <v>0</v>
      </c>
      <c r="AW238" s="4">
        <v>1</v>
      </c>
      <c r="AX238">
        <f>((MAX($J238,1)*MIN($AE238/300,1)))*IF(D238="Wagon",50,10)</f>
        <v>0</v>
      </c>
      <c r="AY238">
        <f>VLOOKUP($E238,Constants!$I:$K, 2, FALSE)</f>
        <v>1</v>
      </c>
      <c r="AZ238">
        <f>VLOOKUP($E238,Constants!$I:$K, 3, FALSE)*IF(AND(D238="multiple_unit",Y238&lt;110),0.75,1)</f>
        <v>1</v>
      </c>
      <c r="BA238">
        <f>INT(POWER(((Constants!$G$2+$AT238+$AU238+$AV238+$AX238)*$AW238)*$AZ238, 1.05))+$AS238</f>
        <v>5</v>
      </c>
      <c r="BB238">
        <f>INT(((Constants!$G$1+$AT238+$AU238+$AV238+$AX238)*(1/$AW238))*$AY238)+$AR238</f>
        <v>35</v>
      </c>
      <c r="BL238" t="e">
        <f>VLOOKUP(G238,Eras!$A$2:$C$10, 2, TRUE)</f>
        <v>#N/A</v>
      </c>
      <c r="BM238" t="s">
        <v>387</v>
      </c>
      <c r="BN238" t="e">
        <f>CONCATENATE(BL238,"_",BM238)</f>
        <v>#N/A</v>
      </c>
      <c r="BO238" t="str">
        <f t="shared" si="12"/>
        <v/>
      </c>
      <c r="BP238" t="str">
        <f t="shared" si="13"/>
        <v/>
      </c>
      <c r="BR238" t="str">
        <f t="shared" si="14"/>
        <v/>
      </c>
      <c r="BS238" t="str">
        <f t="shared" si="15"/>
        <v>{SILVER}</v>
      </c>
    </row>
    <row r="239" spans="1:71" x14ac:dyDescent="0.25">
      <c r="A239" t="s">
        <v>143</v>
      </c>
      <c r="B239" t="s">
        <v>245</v>
      </c>
      <c r="D239" t="s">
        <v>169</v>
      </c>
      <c r="E239" t="s">
        <v>323</v>
      </c>
      <c r="F239" t="s">
        <v>316</v>
      </c>
      <c r="X239" s="4" t="str">
        <f>IF(AND(T239&gt;0,W239&gt;0),(W239/((T239+U239)*10)),"")</f>
        <v/>
      </c>
      <c r="AE239" s="11">
        <v>0</v>
      </c>
      <c r="AF239" t="str">
        <f>CONCATENATE(VLOOKUP(AG239, 'Voxel Sizes'!$A$2:$B$18,2,FALSE),"x",INT(AC239*15), "x", INT(AD239*15))</f>
        <v>0x0x0</v>
      </c>
      <c r="AG239">
        <f>ROUND(15*((AB239*10)/256),0)</f>
        <v>0</v>
      </c>
      <c r="AI239" t="str">
        <f>CONCATENATE(VLOOKUP(AG239,Constants!$A$2:$C$16,IF(AH239&lt;&gt;"", 3, 2), FALSE),IF(AH239&lt;&gt;"",CONCATENATE(",",VLOOKUP(AH239,$B:$AI,34,FALSE)),""))</f>
        <v>na</v>
      </c>
      <c r="AP239">
        <v>40</v>
      </c>
      <c r="AQ239" t="str">
        <f>IF(I239&lt;&gt;"",MAX(8,(I239-G239)-4),"")</f>
        <v/>
      </c>
      <c r="AT239">
        <f>MIN(Y239/150, 1)*30</f>
        <v>0</v>
      </c>
      <c r="AU239">
        <f>MIN(K239/4000, 1)*20</f>
        <v>0</v>
      </c>
      <c r="AV239">
        <f>MIN(W239/400,1)*20</f>
        <v>0</v>
      </c>
      <c r="AW239" s="4">
        <v>1</v>
      </c>
      <c r="AX239">
        <f>((MAX($J239,1)*MIN($AE239/300,1)))*IF(D239="Wagon",50,10)</f>
        <v>0</v>
      </c>
      <c r="AY239">
        <f>VLOOKUP($E239,Constants!$I:$K, 2, FALSE)</f>
        <v>1</v>
      </c>
      <c r="AZ239">
        <f>VLOOKUP($E239,Constants!$I:$K, 3, FALSE)*IF(AND(D239="multiple_unit",Y239&lt;110),0.75,1)</f>
        <v>0.45</v>
      </c>
      <c r="BA239">
        <f>INT(POWER(((Constants!$G$2+$AT239+$AU239+$AV239+$AX239)*$AW239)*$AZ239, 1.05))+$AS239</f>
        <v>2</v>
      </c>
      <c r="BB239">
        <f>INT(((Constants!$G$1+$AT239+$AU239+$AV239+$AX239)*(1/$AW239))*$AY239)+$AR239</f>
        <v>35</v>
      </c>
      <c r="BL239" t="e">
        <f>VLOOKUP(G239,Eras!$A$2:$C$10, 2, TRUE)</f>
        <v>#N/A</v>
      </c>
      <c r="BN239" t="e">
        <f>CONCATENATE(BL239,"_",BM239)</f>
        <v>#N/A</v>
      </c>
      <c r="BO239" t="str">
        <f t="shared" si="12"/>
        <v/>
      </c>
      <c r="BP239" t="str">
        <f t="shared" si="13"/>
        <v/>
      </c>
      <c r="BR239" t="str">
        <f t="shared" si="14"/>
        <v/>
      </c>
      <c r="BS239" t="str">
        <f t="shared" si="15"/>
        <v>{SILVER}</v>
      </c>
    </row>
    <row r="240" spans="1:71" x14ac:dyDescent="0.25">
      <c r="A240" t="s">
        <v>705</v>
      </c>
      <c r="B240" t="s">
        <v>704</v>
      </c>
      <c r="D240" t="s">
        <v>169</v>
      </c>
      <c r="E240" t="s">
        <v>338</v>
      </c>
      <c r="F240" t="s">
        <v>316</v>
      </c>
      <c r="X240" s="4" t="str">
        <f>IF(AND(T240&gt;0,W240&gt;0),(W240/((T240+U240)*10)),"")</f>
        <v/>
      </c>
      <c r="AF240" t="str">
        <f>CONCATENATE(VLOOKUP(AG240, 'Voxel Sizes'!$A$2:$B$18,2,FALSE),"x",INT(AC240*15), "x", INT(AD240*15))</f>
        <v>0x0x0</v>
      </c>
      <c r="AG240">
        <f>ROUND(15*((AB240*10)/256),0)</f>
        <v>0</v>
      </c>
      <c r="AI240" t="str">
        <f>CONCATENATE(VLOOKUP(AG240,Constants!$A$2:$C$16,IF(AH240&lt;&gt;"", 3, 2), FALSE),IF(AH240&lt;&gt;"",CONCATENATE(",",VLOOKUP(AH240,$B:$AI,34,FALSE)),""))</f>
        <v>na</v>
      </c>
      <c r="AP240">
        <v>40</v>
      </c>
      <c r="AQ240" t="str">
        <f>IF(I240&lt;&gt;"",MAX(8,(I240-G240)-4),"")</f>
        <v/>
      </c>
      <c r="AT240">
        <f>MIN(Y240/150, 1)*30</f>
        <v>0</v>
      </c>
      <c r="AU240">
        <f>MIN(K240/4000, 1)*20</f>
        <v>0</v>
      </c>
      <c r="AV240">
        <f>MIN(W240/400,1)*20</f>
        <v>0</v>
      </c>
      <c r="AW240" s="4">
        <v>1</v>
      </c>
      <c r="AX240">
        <f>((MAX($J240,1)*MIN($AE240/300,1)))*IF(D240="Wagon",50,10)</f>
        <v>0</v>
      </c>
      <c r="AY240">
        <f>VLOOKUP($E240,Constants!$I:$K, 2, FALSE)</f>
        <v>0.85</v>
      </c>
      <c r="AZ240">
        <f>VLOOKUP($E240,Constants!$I:$K, 3, FALSE)*IF(AND(D240="multiple_unit",Y240&lt;110),0.75,1)</f>
        <v>2.2999999999999998</v>
      </c>
      <c r="BA240">
        <f>INT(POWER(((Constants!$G$2+$AT240+$AU240+$AV240+$AX240)*$AW240)*$AZ240, 1.05))+$AS240</f>
        <v>12</v>
      </c>
      <c r="BB240">
        <f>INT(((Constants!$G$1+$AT240+$AU240+$AV240+$AX240)*(1/$AW240))*$AY240)+$AR240</f>
        <v>29</v>
      </c>
      <c r="BL240" t="e">
        <f>VLOOKUP(G240,Eras!$A$2:$C$10, 2, TRUE)</f>
        <v>#N/A</v>
      </c>
      <c r="BN240" t="e">
        <f>CONCATENATE(BL240,"_",BM240)</f>
        <v>#N/A</v>
      </c>
      <c r="BO240" t="str">
        <f t="shared" si="12"/>
        <v/>
      </c>
      <c r="BP240" t="str">
        <f t="shared" si="13"/>
        <v/>
      </c>
      <c r="BR240" t="str">
        <f t="shared" si="14"/>
        <v/>
      </c>
      <c r="BS240" t="str">
        <f t="shared" si="15"/>
        <v>{SILVER}</v>
      </c>
    </row>
    <row r="241" spans="1:71" x14ac:dyDescent="0.25">
      <c r="A241" t="s">
        <v>429</v>
      </c>
      <c r="B241" t="s">
        <v>435</v>
      </c>
      <c r="D241" t="s">
        <v>169</v>
      </c>
      <c r="E241" t="s">
        <v>338</v>
      </c>
      <c r="F241" t="s">
        <v>316</v>
      </c>
      <c r="X241" s="4" t="str">
        <f>IF(AND(T241&gt;0,W241&gt;0),(W241/((T241+U241)*10)),"")</f>
        <v/>
      </c>
      <c r="AF241" t="str">
        <f>CONCATENATE(VLOOKUP(AG241, 'Voxel Sizes'!$A$2:$B$18,2,FALSE),"x",INT(AC241*15), "x", INT(AD241*15))</f>
        <v>0x0x0</v>
      </c>
      <c r="AG241">
        <f>ROUND(15*((AB241*10)/256),0)</f>
        <v>0</v>
      </c>
      <c r="AI241" t="str">
        <f>CONCATENATE(VLOOKUP(AG241,Constants!$A$2:$C$16,IF(AH241&lt;&gt;"", 3, 2), FALSE),IF(AH241&lt;&gt;"",CONCATENATE(",",VLOOKUP(AH241,$B:$AI,34,FALSE)),""))</f>
        <v>na</v>
      </c>
      <c r="AP241">
        <v>40</v>
      </c>
      <c r="AQ241" t="str">
        <f>IF(I241&lt;&gt;"",MAX(8,(I241-G241)-4),"")</f>
        <v/>
      </c>
      <c r="AT241">
        <f>MIN(Y241/150, 1)*30</f>
        <v>0</v>
      </c>
      <c r="AU241">
        <f>MIN(K241/4000, 1)*20</f>
        <v>0</v>
      </c>
      <c r="AV241">
        <f>MIN(W241/400,1)*20</f>
        <v>0</v>
      </c>
      <c r="AW241" s="4">
        <v>1</v>
      </c>
      <c r="AX241">
        <f>((MAX($J241,1)*MIN($AE241/300,1)))*IF(D241="Wagon",50,10)</f>
        <v>0</v>
      </c>
      <c r="AY241">
        <f>VLOOKUP($E241,Constants!$I:$K, 2, FALSE)</f>
        <v>0.85</v>
      </c>
      <c r="AZ241">
        <f>VLOOKUP($E241,Constants!$I:$K, 3, FALSE)*IF(AND(D241="multiple_unit",Y241&lt;110),0.75,1)</f>
        <v>2.2999999999999998</v>
      </c>
      <c r="BA241">
        <f>INT(POWER(((Constants!$G$2+$AT241+$AU241+$AV241+$AX241)*$AW241)*$AZ241, 1.05))+$AS241</f>
        <v>12</v>
      </c>
      <c r="BB241">
        <f>INT(((Constants!$G$1+$AT241+$AU241+$AV241+$AX241)*(1/$AW241))*$AY241)+$AR241</f>
        <v>29</v>
      </c>
      <c r="BL241" t="e">
        <f>VLOOKUP(G241,Eras!$A$2:$C$10, 2, TRUE)</f>
        <v>#N/A</v>
      </c>
      <c r="BN241" t="e">
        <f>CONCATENATE(BL241,"_",BM241)</f>
        <v>#N/A</v>
      </c>
      <c r="BO241" t="str">
        <f t="shared" si="12"/>
        <v/>
      </c>
      <c r="BP241" t="str">
        <f t="shared" si="13"/>
        <v/>
      </c>
      <c r="BR241" t="str">
        <f t="shared" si="14"/>
        <v/>
      </c>
      <c r="BS241" t="str">
        <f t="shared" si="15"/>
        <v>{SILVER}</v>
      </c>
    </row>
    <row r="242" spans="1:71" x14ac:dyDescent="0.25">
      <c r="A242" t="s">
        <v>430</v>
      </c>
      <c r="B242" t="s">
        <v>436</v>
      </c>
      <c r="D242" t="s">
        <v>169</v>
      </c>
      <c r="E242" t="s">
        <v>338</v>
      </c>
      <c r="F242" t="s">
        <v>316</v>
      </c>
      <c r="X242" s="4" t="str">
        <f>IF(AND(T242&gt;0,W242&gt;0),(W242/((T242+U242)*10)),"")</f>
        <v/>
      </c>
      <c r="AF242" t="str">
        <f>CONCATENATE(VLOOKUP(AG242, 'Voxel Sizes'!$A$2:$B$18,2,FALSE),"x",INT(AC242*15), "x", INT(AD242*15))</f>
        <v>0x0x0</v>
      </c>
      <c r="AG242">
        <f>ROUND(15*((AB242*10)/256),0)</f>
        <v>0</v>
      </c>
      <c r="AI242" t="str">
        <f>CONCATENATE(VLOOKUP(AG242,Constants!$A$2:$C$16,IF(AH242&lt;&gt;"", 3, 2), FALSE),IF(AH242&lt;&gt;"",CONCATENATE(",",VLOOKUP(AH242,$B:$AI,34,FALSE)),""))</f>
        <v>na</v>
      </c>
      <c r="AP242">
        <v>40</v>
      </c>
      <c r="AQ242" t="str">
        <f>IF(I242&lt;&gt;"",MAX(8,(I242-G242)-4),"")</f>
        <v/>
      </c>
      <c r="AT242">
        <f>MIN(Y242/150, 1)*30</f>
        <v>0</v>
      </c>
      <c r="AU242">
        <f>MIN(K242/4000, 1)*20</f>
        <v>0</v>
      </c>
      <c r="AV242">
        <f>MIN(W242/400,1)*20</f>
        <v>0</v>
      </c>
      <c r="AW242" s="4">
        <v>1</v>
      </c>
      <c r="AX242">
        <f>((MAX($J242,1)*MIN($AE242/300,1)))*IF(D242="Wagon",50,10)</f>
        <v>0</v>
      </c>
      <c r="AY242">
        <f>VLOOKUP($E242,Constants!$I:$K, 2, FALSE)</f>
        <v>0.85</v>
      </c>
      <c r="AZ242">
        <f>VLOOKUP($E242,Constants!$I:$K, 3, FALSE)*IF(AND(D242="multiple_unit",Y242&lt;110),0.75,1)</f>
        <v>2.2999999999999998</v>
      </c>
      <c r="BA242">
        <f>INT(POWER(((Constants!$G$2+$AT242+$AU242+$AV242+$AX242)*$AW242)*$AZ242, 1.05))+$AS242</f>
        <v>12</v>
      </c>
      <c r="BB242">
        <f>INT(((Constants!$G$1+$AT242+$AU242+$AV242+$AX242)*(1/$AW242))*$AY242)+$AR242</f>
        <v>29</v>
      </c>
      <c r="BL242" t="e">
        <f>VLOOKUP(G242,Eras!$A$2:$C$10, 2, TRUE)</f>
        <v>#N/A</v>
      </c>
      <c r="BN242" t="e">
        <f>CONCATENATE(BL242,"_",BM242)</f>
        <v>#N/A</v>
      </c>
      <c r="BO242" t="str">
        <f t="shared" si="12"/>
        <v/>
      </c>
      <c r="BP242" t="str">
        <f t="shared" si="13"/>
        <v/>
      </c>
      <c r="BR242" t="str">
        <f t="shared" si="14"/>
        <v/>
      </c>
      <c r="BS242" t="str">
        <f t="shared" si="15"/>
        <v>{SILVER}</v>
      </c>
    </row>
    <row r="243" spans="1:71" x14ac:dyDescent="0.25">
      <c r="A243" t="s">
        <v>431</v>
      </c>
      <c r="B243" t="s">
        <v>437</v>
      </c>
      <c r="D243" t="s">
        <v>169</v>
      </c>
      <c r="E243" t="s">
        <v>338</v>
      </c>
      <c r="F243" t="s">
        <v>316</v>
      </c>
      <c r="X243" s="4" t="str">
        <f>IF(AND(T243&gt;0,W243&gt;0),(W243/((T243+U243)*10)),"")</f>
        <v/>
      </c>
      <c r="AF243" t="str">
        <f>CONCATENATE(VLOOKUP(AG243, 'Voxel Sizes'!$A$2:$B$18,2,FALSE),"x",INT(AC243*15), "x", INT(AD243*15))</f>
        <v>0x0x0</v>
      </c>
      <c r="AG243">
        <f>ROUND(15*((AB243*10)/256),0)</f>
        <v>0</v>
      </c>
      <c r="AI243" t="str">
        <f>CONCATENATE(VLOOKUP(AG243,Constants!$A$2:$C$16,IF(AH243&lt;&gt;"", 3, 2), FALSE),IF(AH243&lt;&gt;"",CONCATENATE(",",VLOOKUP(AH243,$B:$AI,34,FALSE)),""))</f>
        <v>na</v>
      </c>
      <c r="AP243">
        <v>40</v>
      </c>
      <c r="AQ243" t="str">
        <f>IF(I243&lt;&gt;"",MAX(8,(I243-G243)-4),"")</f>
        <v/>
      </c>
      <c r="AT243">
        <f>MIN(Y243/150, 1)*30</f>
        <v>0</v>
      </c>
      <c r="AU243">
        <f>MIN(K243/4000, 1)*20</f>
        <v>0</v>
      </c>
      <c r="AV243">
        <f>MIN(W243/400,1)*20</f>
        <v>0</v>
      </c>
      <c r="AW243" s="4">
        <v>1</v>
      </c>
      <c r="AX243">
        <f>((MAX($J243,1)*MIN($AE243/300,1)))*IF(D243="Wagon",50,10)</f>
        <v>0</v>
      </c>
      <c r="AY243">
        <f>VLOOKUP($E243,Constants!$I:$K, 2, FALSE)</f>
        <v>0.85</v>
      </c>
      <c r="AZ243">
        <f>VLOOKUP($E243,Constants!$I:$K, 3, FALSE)*IF(AND(D243="multiple_unit",Y243&lt;110),0.75,1)</f>
        <v>2.2999999999999998</v>
      </c>
      <c r="BA243">
        <f>INT(POWER(((Constants!$G$2+$AT243+$AU243+$AV243+$AX243)*$AW243)*$AZ243, 1.05))+$AS243</f>
        <v>12</v>
      </c>
      <c r="BB243">
        <f>INT(((Constants!$G$1+$AT243+$AU243+$AV243+$AX243)*(1/$AW243))*$AY243)+$AR243</f>
        <v>29</v>
      </c>
      <c r="BL243" t="e">
        <f>VLOOKUP(G243,Eras!$A$2:$C$10, 2, TRUE)</f>
        <v>#N/A</v>
      </c>
      <c r="BN243" t="e">
        <f>CONCATENATE(BL243,"_",BM243)</f>
        <v>#N/A</v>
      </c>
      <c r="BO243" t="str">
        <f t="shared" si="12"/>
        <v/>
      </c>
      <c r="BP243" t="str">
        <f t="shared" si="13"/>
        <v/>
      </c>
      <c r="BR243" t="str">
        <f t="shared" si="14"/>
        <v/>
      </c>
      <c r="BS243" t="str">
        <f t="shared" si="15"/>
        <v>{SILVER}</v>
      </c>
    </row>
    <row r="244" spans="1:71" x14ac:dyDescent="0.25">
      <c r="A244" t="s">
        <v>432</v>
      </c>
      <c r="B244" t="s">
        <v>438</v>
      </c>
      <c r="D244" t="s">
        <v>169</v>
      </c>
      <c r="E244" t="s">
        <v>338</v>
      </c>
      <c r="F244" t="s">
        <v>316</v>
      </c>
      <c r="X244" s="4" t="str">
        <f>IF(AND(T244&gt;0,W244&gt;0),(W244/((T244+U244)*10)),"")</f>
        <v/>
      </c>
      <c r="AF244" t="str">
        <f>CONCATENATE(VLOOKUP(AG244, 'Voxel Sizes'!$A$2:$B$18,2,FALSE),"x",INT(AC244*15), "x", INT(AD244*15))</f>
        <v>0x0x0</v>
      </c>
      <c r="AG244">
        <f>ROUND(15*((AB244*10)/256),0)</f>
        <v>0</v>
      </c>
      <c r="AI244" t="str">
        <f>CONCATENATE(VLOOKUP(AG244,Constants!$A$2:$C$16,IF(AH244&lt;&gt;"", 3, 2), FALSE),IF(AH244&lt;&gt;"",CONCATENATE(",",VLOOKUP(AH244,$B:$AI,34,FALSE)),""))</f>
        <v>na</v>
      </c>
      <c r="AP244">
        <v>40</v>
      </c>
      <c r="AQ244" t="str">
        <f>IF(I244&lt;&gt;"",MAX(8,(I244-G244)-4),"")</f>
        <v/>
      </c>
      <c r="AT244">
        <f>MIN(Y244/150, 1)*30</f>
        <v>0</v>
      </c>
      <c r="AU244">
        <f>MIN(K244/4000, 1)*20</f>
        <v>0</v>
      </c>
      <c r="AV244">
        <f>MIN(W244/400,1)*20</f>
        <v>0</v>
      </c>
      <c r="AW244" s="4">
        <v>1</v>
      </c>
      <c r="AX244">
        <f>((MAX($J244,1)*MIN($AE244/300,1)))*IF(D244="Wagon",50,10)</f>
        <v>0</v>
      </c>
      <c r="AY244">
        <f>VLOOKUP($E244,Constants!$I:$K, 2, FALSE)</f>
        <v>0.85</v>
      </c>
      <c r="AZ244">
        <f>VLOOKUP($E244,Constants!$I:$K, 3, FALSE)*IF(AND(D244="multiple_unit",Y244&lt;110),0.75,1)</f>
        <v>2.2999999999999998</v>
      </c>
      <c r="BA244">
        <f>INT(POWER(((Constants!$G$2+$AT244+$AU244+$AV244+$AX244)*$AW244)*$AZ244, 1.05))+$AS244</f>
        <v>12</v>
      </c>
      <c r="BB244">
        <f>INT(((Constants!$G$1+$AT244+$AU244+$AV244+$AX244)*(1/$AW244))*$AY244)+$AR244</f>
        <v>29</v>
      </c>
      <c r="BL244" t="e">
        <f>VLOOKUP(G244,Eras!$A$2:$C$10, 2, TRUE)</f>
        <v>#N/A</v>
      </c>
      <c r="BN244" t="e">
        <f>CONCATENATE(BL244,"_",BM244)</f>
        <v>#N/A</v>
      </c>
      <c r="BO244" t="str">
        <f t="shared" si="12"/>
        <v/>
      </c>
      <c r="BP244" t="str">
        <f t="shared" si="13"/>
        <v/>
      </c>
      <c r="BR244" t="str">
        <f t="shared" si="14"/>
        <v/>
      </c>
      <c r="BS244" t="str">
        <f t="shared" si="15"/>
        <v>{SILVER}</v>
      </c>
    </row>
    <row r="245" spans="1:71" x14ac:dyDescent="0.25">
      <c r="A245" t="s">
        <v>723</v>
      </c>
      <c r="B245" t="s">
        <v>726</v>
      </c>
      <c r="D245" t="s">
        <v>169</v>
      </c>
      <c r="E245" t="s">
        <v>338</v>
      </c>
      <c r="F245" t="s">
        <v>316</v>
      </c>
      <c r="AF245" t="str">
        <f>CONCATENATE(VLOOKUP(AG245, 'Voxel Sizes'!$A$2:$B$18,2,FALSE),"x",INT(AC245*15), "x", INT(AD245*15))</f>
        <v>0x0x0</v>
      </c>
      <c r="AG245">
        <f>ROUND(15*((AB245*10)/256),0)</f>
        <v>0</v>
      </c>
      <c r="AI245" t="str">
        <f>CONCATENATE(VLOOKUP(AG245,Constants!$A$2:$C$16,IF(AH245&lt;&gt;"", 3, 2), FALSE),IF(AH245&lt;&gt;"",CONCATENATE(",",VLOOKUP(AH245,$B:$AI,34,FALSE)),""))</f>
        <v>na</v>
      </c>
      <c r="AP245">
        <v>40</v>
      </c>
      <c r="AQ245" t="str">
        <f>IF(I245&lt;&gt;"",MAX(8,(I245-G245)-4),"")</f>
        <v/>
      </c>
      <c r="AT245">
        <f>MIN(Y245/150, 1)*30</f>
        <v>0</v>
      </c>
      <c r="AU245">
        <f>MIN(K245/4000, 1)*20</f>
        <v>0</v>
      </c>
      <c r="AV245">
        <f>MIN(W245/400,1)*20</f>
        <v>0</v>
      </c>
      <c r="AW245" s="4">
        <v>1</v>
      </c>
      <c r="AX245">
        <f>((MAX($J245,1)*MIN($AE245/300,1)))*IF(D245="Wagon",50,10)</f>
        <v>0</v>
      </c>
      <c r="AY245">
        <f>VLOOKUP($E245,Constants!$I:$K, 2, FALSE)</f>
        <v>0.85</v>
      </c>
      <c r="AZ245">
        <f>VLOOKUP($E245,Constants!$I:$K, 3, FALSE)*IF(AND(D245="multiple_unit",Y245&lt;110),0.75,1)</f>
        <v>2.2999999999999998</v>
      </c>
      <c r="BA245">
        <f>INT(POWER(((Constants!$G$2+$AT245+$AU245+$AV245+$AX245)*$AW245)*$AZ245, 1.05))+$AS245</f>
        <v>12</v>
      </c>
      <c r="BB245">
        <f>INT(((Constants!$G$1+$AT245+$AU245+$AV245+$AX245)*(1/$AW245))*$AY245)+$AR245</f>
        <v>29</v>
      </c>
      <c r="BL245" t="e">
        <f>VLOOKUP(G245,Eras!$A$2:$C$10, 2, TRUE)</f>
        <v>#N/A</v>
      </c>
      <c r="BN245" t="e">
        <f>CONCATENATE(BL245,"_",BM245)</f>
        <v>#N/A</v>
      </c>
      <c r="BO245" t="str">
        <f t="shared" si="12"/>
        <v/>
      </c>
      <c r="BP245" t="str">
        <f t="shared" si="13"/>
        <v/>
      </c>
      <c r="BR245" t="str">
        <f t="shared" si="14"/>
        <v/>
      </c>
      <c r="BS245" t="str">
        <f t="shared" si="15"/>
        <v>{SILVER}</v>
      </c>
    </row>
    <row r="246" spans="1:71" x14ac:dyDescent="0.25">
      <c r="A246" t="s">
        <v>738</v>
      </c>
      <c r="B246" t="s">
        <v>739</v>
      </c>
      <c r="D246" t="s">
        <v>169</v>
      </c>
      <c r="E246" t="s">
        <v>338</v>
      </c>
      <c r="F246" t="s">
        <v>345</v>
      </c>
      <c r="G246">
        <v>1893</v>
      </c>
      <c r="H246">
        <v>1896</v>
      </c>
      <c r="I246">
        <v>1956</v>
      </c>
      <c r="J246">
        <v>2</v>
      </c>
      <c r="K246">
        <v>120</v>
      </c>
      <c r="T246">
        <v>10</v>
      </c>
      <c r="V246">
        <v>7</v>
      </c>
      <c r="W246">
        <v>30</v>
      </c>
      <c r="X246" s="4">
        <f>IF(AND(T246&gt;0,W246&gt;0),(W246/((T246+U246)*10)),"")</f>
        <v>0.3</v>
      </c>
      <c r="Y246">
        <v>35</v>
      </c>
      <c r="AA246">
        <v>14</v>
      </c>
      <c r="AB246">
        <v>14</v>
      </c>
      <c r="AC246">
        <v>2.59</v>
      </c>
      <c r="AE246" s="11">
        <f>41+16</f>
        <v>57</v>
      </c>
      <c r="AF246" t="str">
        <f>CONCATENATE(VLOOKUP(AG246, 'Voxel Sizes'!$A$2:$B$18,2,FALSE),"x",INT(AC246*15), "x", INT(AD246*15))</f>
        <v>136x38x0</v>
      </c>
      <c r="AG246">
        <f>ROUND(15*((AB246*10)/256),0)</f>
        <v>8</v>
      </c>
      <c r="AI246" t="str">
        <f>CONCATENATE(VLOOKUP(AG246,Constants!$A$2:$C$16,IF(AH246&lt;&gt;"", 3, 2), FALSE),IF(AH246&lt;&gt;"",CONCATENATE(",",VLOOKUP(AH246,$B:$AI,34,FALSE)),""))</f>
        <v>2,4,2</v>
      </c>
      <c r="AK246" t="s">
        <v>740</v>
      </c>
      <c r="AM246" t="s">
        <v>519</v>
      </c>
      <c r="AP246">
        <v>35</v>
      </c>
      <c r="AQ246">
        <f>IF(I246&lt;&gt;"",MAX(8,(I246-G246)-4),"")</f>
        <v>59</v>
      </c>
      <c r="AT246">
        <f>MIN(Y246/150, 1)*30</f>
        <v>7</v>
      </c>
      <c r="AU246">
        <f>MIN(K246/4000, 1)*20</f>
        <v>0.6</v>
      </c>
      <c r="AV246">
        <f>MIN(W246/400,1)*20</f>
        <v>1.5</v>
      </c>
      <c r="AW246" s="4">
        <v>1</v>
      </c>
      <c r="AX246">
        <f>((MAX($J246,1)*MIN($AE246/300,1)))*IF(D246="Wagon",50,10)</f>
        <v>3.8</v>
      </c>
      <c r="AY246">
        <f>VLOOKUP($E246,Constants!$I:$K, 2, FALSE)</f>
        <v>0.85</v>
      </c>
      <c r="AZ246">
        <f>VLOOKUP($E246,Constants!$I:$K, 3, FALSE)*IF(AND(D246="multiple_unit",Y246&lt;110),0.75,1)</f>
        <v>2.2999999999999998</v>
      </c>
      <c r="BA246">
        <f>INT(POWER(((Constants!$G$2+$AT246+$AU246+$AV246+$AX246)*$AW246)*$AZ246, 1.05))+$AS246</f>
        <v>49</v>
      </c>
      <c r="BB246">
        <f>INT(((Constants!$G$1+$AT246+$AU246+$AV246+$AX246)*(1/$AW246))*$AY246)+$AR246</f>
        <v>40</v>
      </c>
      <c r="BK246" t="s">
        <v>325</v>
      </c>
      <c r="BL246" t="str">
        <f>VLOOKUP(G246,Eras!$A$2:$C$10, 2, TRUE)</f>
        <v>vct</v>
      </c>
      <c r="BM246" t="s">
        <v>375</v>
      </c>
      <c r="BN246" t="str">
        <f>CONCATENATE(BL246,"_",BM246)</f>
        <v>vct_EMU</v>
      </c>
      <c r="BO246" t="str">
        <f t="shared" si="12"/>
        <v/>
      </c>
      <c r="BP246" t="str">
        <f t="shared" si="13"/>
        <v>{BLACK}Cars: {GOLD}2{}</v>
      </c>
      <c r="BQ246" t="s">
        <v>741</v>
      </c>
      <c r="BR246" t="str">
        <f t="shared" si="14"/>
        <v/>
      </c>
      <c r="BS246" t="str">
        <f t="shared" si="15"/>
        <v>{BLACK}Cars: {GOLD}2{}{SILVER}These lightweight multiple units were built for the Liverpool Overhead Railway, a since closed elevated railway operating around the Liverpool docks.</v>
      </c>
    </row>
    <row r="247" spans="1:71" x14ac:dyDescent="0.25">
      <c r="A247" t="s">
        <v>108</v>
      </c>
      <c r="B247" t="s">
        <v>222</v>
      </c>
      <c r="D247" t="s">
        <v>169</v>
      </c>
      <c r="E247" t="s">
        <v>1178</v>
      </c>
      <c r="F247" t="s">
        <v>316</v>
      </c>
      <c r="G247">
        <v>1900</v>
      </c>
      <c r="X247" s="4" t="str">
        <f>IF(AND(T247&gt;0,W247&gt;0),(W247/((T247+U247)*10)),"")</f>
        <v/>
      </c>
      <c r="AF247" t="str">
        <f>CONCATENATE(VLOOKUP(AG247, 'Voxel Sizes'!$A$2:$B$18,2,FALSE),"x",INT(AC247*15), "x", INT(AD247*15))</f>
        <v>0x0x0</v>
      </c>
      <c r="AG247">
        <f>ROUND(15*((AB247*10)/256),0)</f>
        <v>0</v>
      </c>
      <c r="AI247" t="str">
        <f>CONCATENATE(VLOOKUP(AG247,Constants!$A$2:$C$16,IF(AH247&lt;&gt;"", 3, 2), FALSE),IF(AH247&lt;&gt;"",CONCATENATE(",",VLOOKUP(AH247,$B:$AI,34,FALSE)),""))</f>
        <v>na</v>
      </c>
      <c r="AP247">
        <v>40</v>
      </c>
      <c r="AQ247" t="str">
        <f>IF(I247&lt;&gt;"",MAX(8,(I247-G247)-4),"")</f>
        <v/>
      </c>
      <c r="AT247">
        <f>MIN(Y247/150, 1)*30</f>
        <v>0</v>
      </c>
      <c r="AU247">
        <f>MIN(K247/4000, 1)*20</f>
        <v>0</v>
      </c>
      <c r="AV247">
        <f>MIN(W247/400,1)*20</f>
        <v>0</v>
      </c>
      <c r="AW247" s="4">
        <v>1</v>
      </c>
      <c r="AX247">
        <f>((MAX($J247,1)*MIN($AE247/300,1)))*IF(D247="Wagon",50,10)</f>
        <v>0</v>
      </c>
      <c r="AY247">
        <f>VLOOKUP($E247,Constants!$I:$K, 2, FALSE)</f>
        <v>1</v>
      </c>
      <c r="AZ247">
        <f>VLOOKUP($E247,Constants!$I:$K, 3, FALSE)*IF(AND(D247="multiple_unit",Y247&lt;110),0.75,1)</f>
        <v>1</v>
      </c>
      <c r="BA247">
        <f>INT(POWER(((Constants!$G$2+$AT247+$AU247+$AV247+$AX247)*$AW247)*$AZ247, 1.05))+$AS247</f>
        <v>5</v>
      </c>
      <c r="BB247">
        <f>INT(((Constants!$G$1+$AT247+$AU247+$AV247+$AX247)*(1/$AW247))*$AY247)+$AR247</f>
        <v>35</v>
      </c>
      <c r="BL247" t="str">
        <f>VLOOKUP(G247,Eras!$A$2:$C$10, 2, TRUE)</f>
        <v>edw</v>
      </c>
      <c r="BM247" t="s">
        <v>387</v>
      </c>
      <c r="BN247" t="str">
        <f>CONCATENATE(BL247,"_",BM247)</f>
        <v>edw_LU</v>
      </c>
      <c r="BO247" t="str">
        <f t="shared" si="12"/>
        <v/>
      </c>
      <c r="BP247" t="str">
        <f t="shared" si="13"/>
        <v/>
      </c>
      <c r="BR247" t="str">
        <f t="shared" si="14"/>
        <v/>
      </c>
      <c r="BS247" t="str">
        <f t="shared" si="15"/>
        <v>{SILVER}</v>
      </c>
    </row>
    <row r="248" spans="1:71" x14ac:dyDescent="0.25">
      <c r="A248" t="s">
        <v>114</v>
      </c>
      <c r="B248" t="s">
        <v>226</v>
      </c>
      <c r="D248" t="s">
        <v>169</v>
      </c>
      <c r="E248" t="s">
        <v>1178</v>
      </c>
      <c r="F248" t="s">
        <v>316</v>
      </c>
      <c r="G248">
        <v>1938</v>
      </c>
      <c r="X248" s="4" t="str">
        <f>IF(AND(T248&gt;0,W248&gt;0),(W248/((T248+U248)*10)),"")</f>
        <v/>
      </c>
      <c r="AF248" t="str">
        <f>CONCATENATE(VLOOKUP(AG248, 'Voxel Sizes'!$A$2:$B$18,2,FALSE),"x",INT(AC248*15), "x", INT(AD248*15))</f>
        <v>0x0x0</v>
      </c>
      <c r="AG248">
        <f>ROUND(15*((AB248*10)/256),0)</f>
        <v>0</v>
      </c>
      <c r="AI248" t="str">
        <f>CONCATENATE(VLOOKUP(AG248,Constants!$A$2:$C$16,IF(AH248&lt;&gt;"", 3, 2), FALSE),IF(AH248&lt;&gt;"",CONCATENATE(",",VLOOKUP(AH248,$B:$AI,34,FALSE)),""))</f>
        <v>na</v>
      </c>
      <c r="AP248">
        <v>40</v>
      </c>
      <c r="AQ248" t="str">
        <f>IF(I248&lt;&gt;"",MAX(8,(I248-G248)-4),"")</f>
        <v/>
      </c>
      <c r="AT248">
        <f>MIN(Y248/150, 1)*30</f>
        <v>0</v>
      </c>
      <c r="AU248">
        <f>MIN(K248/4000, 1)*20</f>
        <v>0</v>
      </c>
      <c r="AV248">
        <f>MIN(W248/400,1)*20</f>
        <v>0</v>
      </c>
      <c r="AW248" s="4">
        <v>1</v>
      </c>
      <c r="AX248">
        <f>((MAX($J248,1)*MIN($AE248/300,1)))*IF(D248="Wagon",50,10)</f>
        <v>0</v>
      </c>
      <c r="AY248">
        <f>VLOOKUP($E248,Constants!$I:$K, 2, FALSE)</f>
        <v>1</v>
      </c>
      <c r="AZ248">
        <f>VLOOKUP($E248,Constants!$I:$K, 3, FALSE)*IF(AND(D248="multiple_unit",Y248&lt;110),0.75,1)</f>
        <v>1</v>
      </c>
      <c r="BA248">
        <f>INT(POWER(((Constants!$G$2+$AT248+$AU248+$AV248+$AX248)*$AW248)*$AZ248, 1.05))+$AS248</f>
        <v>5</v>
      </c>
      <c r="BB248">
        <f>INT(((Constants!$G$1+$AT248+$AU248+$AV248+$AX248)*(1/$AW248))*$AY248)+$AR248</f>
        <v>35</v>
      </c>
      <c r="BL248" t="str">
        <f>VLOOKUP(G248,Eras!$A$2:$C$10, 2, TRUE)</f>
        <v>big4</v>
      </c>
      <c r="BM248" t="s">
        <v>387</v>
      </c>
      <c r="BN248" t="str">
        <f>CONCATENATE(BL248,"_",BM248)</f>
        <v>big4_LU</v>
      </c>
      <c r="BO248" t="str">
        <f t="shared" si="12"/>
        <v/>
      </c>
      <c r="BP248" t="str">
        <f t="shared" si="13"/>
        <v/>
      </c>
      <c r="BR248" t="str">
        <f t="shared" si="14"/>
        <v/>
      </c>
      <c r="BS248" t="str">
        <f t="shared" si="15"/>
        <v>{SILVER}</v>
      </c>
    </row>
    <row r="249" spans="1:71" x14ac:dyDescent="0.25">
      <c r="A249" t="s">
        <v>115</v>
      </c>
      <c r="B249" t="s">
        <v>227</v>
      </c>
      <c r="D249" t="s">
        <v>169</v>
      </c>
      <c r="E249" t="s">
        <v>1178</v>
      </c>
      <c r="F249" t="s">
        <v>316</v>
      </c>
      <c r="G249">
        <v>1959</v>
      </c>
      <c r="X249" s="4" t="str">
        <f>IF(AND(T249&gt;0,W249&gt;0),(W249/((T249+U249)*10)),"")</f>
        <v/>
      </c>
      <c r="AF249" t="str">
        <f>CONCATENATE(VLOOKUP(AG249, 'Voxel Sizes'!$A$2:$B$18,2,FALSE),"x",INT(AC249*15), "x", INT(AD249*15))</f>
        <v>0x0x0</v>
      </c>
      <c r="AG249">
        <f>ROUND(15*((AB249*10)/256),0)</f>
        <v>0</v>
      </c>
      <c r="AI249" t="str">
        <f>CONCATENATE(VLOOKUP(AG249,Constants!$A$2:$C$16,IF(AH249&lt;&gt;"", 3, 2), FALSE),IF(AH249&lt;&gt;"",CONCATENATE(",",VLOOKUP(AH249,$B:$AI,34,FALSE)),""))</f>
        <v>na</v>
      </c>
      <c r="AP249">
        <v>40</v>
      </c>
      <c r="AQ249" t="str">
        <f>IF(I249&lt;&gt;"",MAX(8,(I249-G249)-4),"")</f>
        <v/>
      </c>
      <c r="AT249">
        <f>MIN(Y249/150, 1)*30</f>
        <v>0</v>
      </c>
      <c r="AU249">
        <f>MIN(K249/4000, 1)*20</f>
        <v>0</v>
      </c>
      <c r="AV249">
        <f>MIN(W249/400,1)*20</f>
        <v>0</v>
      </c>
      <c r="AW249" s="4">
        <v>1</v>
      </c>
      <c r="AX249">
        <f>((MAX($J249,1)*MIN($AE249/300,1)))*IF(D249="Wagon",50,10)</f>
        <v>0</v>
      </c>
      <c r="AY249">
        <f>VLOOKUP($E249,Constants!$I:$K, 2, FALSE)</f>
        <v>1</v>
      </c>
      <c r="AZ249">
        <f>VLOOKUP($E249,Constants!$I:$K, 3, FALSE)*IF(AND(D249="multiple_unit",Y249&lt;110),0.75,1)</f>
        <v>1</v>
      </c>
      <c r="BA249">
        <f>INT(POWER(((Constants!$G$2+$AT249+$AU249+$AV249+$AX249)*$AW249)*$AZ249, 1.05))+$AS249</f>
        <v>5</v>
      </c>
      <c r="BB249">
        <f>INT(((Constants!$G$1+$AT249+$AU249+$AV249+$AX249)*(1/$AW249))*$AY249)+$AR249</f>
        <v>35</v>
      </c>
      <c r="BL249" t="str">
        <f>VLOOKUP(G249,Eras!$A$2:$C$10, 2, TRUE)</f>
        <v>dsl</v>
      </c>
      <c r="BM249" t="s">
        <v>387</v>
      </c>
      <c r="BN249" t="str">
        <f>CONCATENATE(BL249,"_",BM249)</f>
        <v>dsl_LU</v>
      </c>
      <c r="BO249" t="str">
        <f t="shared" si="12"/>
        <v/>
      </c>
      <c r="BP249" t="str">
        <f t="shared" si="13"/>
        <v/>
      </c>
      <c r="BR249" t="str">
        <f t="shared" si="14"/>
        <v/>
      </c>
      <c r="BS249" t="str">
        <f t="shared" si="15"/>
        <v>{SILVER}</v>
      </c>
    </row>
    <row r="250" spans="1:71" x14ac:dyDescent="0.25">
      <c r="A250" t="s">
        <v>116</v>
      </c>
      <c r="B250" t="s">
        <v>228</v>
      </c>
      <c r="D250" t="s">
        <v>169</v>
      </c>
      <c r="E250" t="s">
        <v>1178</v>
      </c>
      <c r="F250" t="s">
        <v>316</v>
      </c>
      <c r="G250">
        <v>1960</v>
      </c>
      <c r="X250" s="4" t="str">
        <f>IF(AND(T250&gt;0,W250&gt;0),(W250/((T250+U250)*10)),"")</f>
        <v/>
      </c>
      <c r="AF250" t="str">
        <f>CONCATENATE(VLOOKUP(AG250, 'Voxel Sizes'!$A$2:$B$18,2,FALSE),"x",INT(AC250*15), "x", INT(AD250*15))</f>
        <v>0x0x0</v>
      </c>
      <c r="AG250">
        <f>ROUND(15*((AB250*10)/256),0)</f>
        <v>0</v>
      </c>
      <c r="AI250" t="str">
        <f>CONCATENATE(VLOOKUP(AG250,Constants!$A$2:$C$16,IF(AH250&lt;&gt;"", 3, 2), FALSE),IF(AH250&lt;&gt;"",CONCATENATE(",",VLOOKUP(AH250,$B:$AI,34,FALSE)),""))</f>
        <v>na</v>
      </c>
      <c r="AP250">
        <v>40</v>
      </c>
      <c r="AQ250" t="str">
        <f>IF(I250&lt;&gt;"",MAX(8,(I250-G250)-4),"")</f>
        <v/>
      </c>
      <c r="AT250">
        <f>MIN(Y250/150, 1)*30</f>
        <v>0</v>
      </c>
      <c r="AU250">
        <f>MIN(K250/4000, 1)*20</f>
        <v>0</v>
      </c>
      <c r="AV250">
        <f>MIN(W250/400,1)*20</f>
        <v>0</v>
      </c>
      <c r="AW250" s="4">
        <v>1</v>
      </c>
      <c r="AX250">
        <f>((MAX($J250,1)*MIN($AE250/300,1)))*IF(D250="Wagon",50,10)</f>
        <v>0</v>
      </c>
      <c r="AY250">
        <f>VLOOKUP($E250,Constants!$I:$K, 2, FALSE)</f>
        <v>1</v>
      </c>
      <c r="AZ250">
        <f>VLOOKUP($E250,Constants!$I:$K, 3, FALSE)*IF(AND(D250="multiple_unit",Y250&lt;110),0.75,1)</f>
        <v>1</v>
      </c>
      <c r="BA250">
        <f>INT(POWER(((Constants!$G$2+$AT250+$AU250+$AV250+$AX250)*$AW250)*$AZ250, 1.05))+$AS250</f>
        <v>5</v>
      </c>
      <c r="BB250">
        <f>INT(((Constants!$G$1+$AT250+$AU250+$AV250+$AX250)*(1/$AW250))*$AY250)+$AR250</f>
        <v>35</v>
      </c>
      <c r="BL250" t="str">
        <f>VLOOKUP(G250,Eras!$A$2:$C$10, 2, TRUE)</f>
        <v>dsl</v>
      </c>
      <c r="BM250" t="s">
        <v>387</v>
      </c>
      <c r="BN250" t="str">
        <f>CONCATENATE(BL250,"_",BM250)</f>
        <v>dsl_LU</v>
      </c>
      <c r="BO250" t="str">
        <f t="shared" si="12"/>
        <v/>
      </c>
      <c r="BP250" t="str">
        <f t="shared" si="13"/>
        <v/>
      </c>
      <c r="BR250" t="str">
        <f t="shared" si="14"/>
        <v/>
      </c>
      <c r="BS250" t="str">
        <f t="shared" si="15"/>
        <v>{SILVER}</v>
      </c>
    </row>
    <row r="251" spans="1:71" x14ac:dyDescent="0.25">
      <c r="A251" t="s">
        <v>117</v>
      </c>
      <c r="B251" t="s">
        <v>229</v>
      </c>
      <c r="D251" t="s">
        <v>169</v>
      </c>
      <c r="E251" t="s">
        <v>1178</v>
      </c>
      <c r="F251" t="s">
        <v>316</v>
      </c>
      <c r="G251">
        <v>1967</v>
      </c>
      <c r="X251" s="4" t="str">
        <f>IF(AND(T251&gt;0,W251&gt;0),(W251/((T251+U251)*10)),"")</f>
        <v/>
      </c>
      <c r="AF251" t="str">
        <f>CONCATENATE(VLOOKUP(AG251, 'Voxel Sizes'!$A$2:$B$18,2,FALSE),"x",INT(AC251*15), "x", INT(AD251*15))</f>
        <v>0x0x0</v>
      </c>
      <c r="AG251">
        <f>ROUND(15*((AB251*10)/256),0)</f>
        <v>0</v>
      </c>
      <c r="AI251" t="str">
        <f>CONCATENATE(VLOOKUP(AG251,Constants!$A$2:$C$16,IF(AH251&lt;&gt;"", 3, 2), FALSE),IF(AH251&lt;&gt;"",CONCATENATE(",",VLOOKUP(AH251,$B:$AI,34,FALSE)),""))</f>
        <v>na</v>
      </c>
      <c r="AP251">
        <v>40</v>
      </c>
      <c r="AQ251" t="str">
        <f>IF(I251&lt;&gt;"",MAX(8,(I251-G251)-4),"")</f>
        <v/>
      </c>
      <c r="AT251">
        <f>MIN(Y251/150, 1)*30</f>
        <v>0</v>
      </c>
      <c r="AU251">
        <f>MIN(K251/4000, 1)*20</f>
        <v>0</v>
      </c>
      <c r="AV251">
        <f>MIN(W251/400,1)*20</f>
        <v>0</v>
      </c>
      <c r="AW251" s="4">
        <v>1</v>
      </c>
      <c r="AX251">
        <f>((MAX($J251,1)*MIN($AE251/300,1)))*IF(D251="Wagon",50,10)</f>
        <v>0</v>
      </c>
      <c r="AY251">
        <f>VLOOKUP($E251,Constants!$I:$K, 2, FALSE)</f>
        <v>1</v>
      </c>
      <c r="AZ251">
        <f>VLOOKUP($E251,Constants!$I:$K, 3, FALSE)*IF(AND(D251="multiple_unit",Y251&lt;110),0.75,1)</f>
        <v>1</v>
      </c>
      <c r="BA251">
        <f>INT(POWER(((Constants!$G$2+$AT251+$AU251+$AV251+$AX251)*$AW251)*$AZ251, 1.05))+$AS251</f>
        <v>5</v>
      </c>
      <c r="BB251">
        <f>INT(((Constants!$G$1+$AT251+$AU251+$AV251+$AX251)*(1/$AW251))*$AY251)+$AR251</f>
        <v>35</v>
      </c>
      <c r="BL251" t="str">
        <f>VLOOKUP(G251,Eras!$A$2:$C$10, 2, TRUE)</f>
        <v>dsl</v>
      </c>
      <c r="BM251" t="s">
        <v>387</v>
      </c>
      <c r="BN251" t="str">
        <f>CONCATENATE(BL251,"_",BM251)</f>
        <v>dsl_LU</v>
      </c>
      <c r="BO251" t="str">
        <f t="shared" si="12"/>
        <v/>
      </c>
      <c r="BP251" t="str">
        <f t="shared" si="13"/>
        <v/>
      </c>
      <c r="BR251" t="str">
        <f t="shared" si="14"/>
        <v/>
      </c>
      <c r="BS251" t="str">
        <f t="shared" si="15"/>
        <v>{SILVER}</v>
      </c>
    </row>
    <row r="252" spans="1:71" x14ac:dyDescent="0.25">
      <c r="A252" t="s">
        <v>118</v>
      </c>
      <c r="B252" t="s">
        <v>230</v>
      </c>
      <c r="D252" t="s">
        <v>169</v>
      </c>
      <c r="E252" t="s">
        <v>1178</v>
      </c>
      <c r="F252" t="s">
        <v>316</v>
      </c>
      <c r="G252">
        <v>1969</v>
      </c>
      <c r="X252" s="4" t="str">
        <f>IF(AND(T252&gt;0,W252&gt;0),(W252/((T252+U252)*10)),"")</f>
        <v/>
      </c>
      <c r="AF252" t="str">
        <f>CONCATENATE(VLOOKUP(AG252, 'Voxel Sizes'!$A$2:$B$18,2,FALSE),"x",INT(AC252*15), "x", INT(AD252*15))</f>
        <v>0x0x0</v>
      </c>
      <c r="AG252">
        <f>ROUND(15*((AB252*10)/256),0)</f>
        <v>0</v>
      </c>
      <c r="AI252" t="str">
        <f>CONCATENATE(VLOOKUP(AG252,Constants!$A$2:$C$16,IF(AH252&lt;&gt;"", 3, 2), FALSE),IF(AH252&lt;&gt;"",CONCATENATE(",",VLOOKUP(AH252,$B:$AI,34,FALSE)),""))</f>
        <v>na</v>
      </c>
      <c r="AP252">
        <v>40</v>
      </c>
      <c r="AQ252" t="str">
        <f>IF(I252&lt;&gt;"",MAX(8,(I252-G252)-4),"")</f>
        <v/>
      </c>
      <c r="AT252">
        <f>MIN(Y252/150, 1)*30</f>
        <v>0</v>
      </c>
      <c r="AU252">
        <f>MIN(K252/4000, 1)*20</f>
        <v>0</v>
      </c>
      <c r="AV252">
        <f>MIN(W252/400,1)*20</f>
        <v>0</v>
      </c>
      <c r="AW252" s="4">
        <v>1</v>
      </c>
      <c r="AX252">
        <f>((MAX($J252,1)*MIN($AE252/300,1)))*IF(D252="Wagon",50,10)</f>
        <v>0</v>
      </c>
      <c r="AY252">
        <f>VLOOKUP($E252,Constants!$I:$K, 2, FALSE)</f>
        <v>1</v>
      </c>
      <c r="AZ252">
        <f>VLOOKUP($E252,Constants!$I:$K, 3, FALSE)*IF(AND(D252="multiple_unit",Y252&lt;110),0.75,1)</f>
        <v>1</v>
      </c>
      <c r="BA252">
        <f>INT(POWER(((Constants!$G$2+$AT252+$AU252+$AV252+$AX252)*$AW252)*$AZ252, 1.05))+$AS252</f>
        <v>5</v>
      </c>
      <c r="BB252">
        <f>INT(((Constants!$G$1+$AT252+$AU252+$AV252+$AX252)*(1/$AW252))*$AY252)+$AR252</f>
        <v>35</v>
      </c>
      <c r="BL252" t="str">
        <f>VLOOKUP(G252,Eras!$A$2:$C$10, 2, TRUE)</f>
        <v>dsl</v>
      </c>
      <c r="BM252" t="s">
        <v>387</v>
      </c>
      <c r="BN252" t="str">
        <f>CONCATENATE(BL252,"_",BM252)</f>
        <v>dsl_LU</v>
      </c>
      <c r="BO252" t="str">
        <f t="shared" si="12"/>
        <v/>
      </c>
      <c r="BP252" t="str">
        <f t="shared" si="13"/>
        <v/>
      </c>
      <c r="BR252" t="str">
        <f t="shared" si="14"/>
        <v/>
      </c>
      <c r="BS252" t="str">
        <f t="shared" si="15"/>
        <v>{SILVER}</v>
      </c>
    </row>
    <row r="253" spans="1:71" x14ac:dyDescent="0.25">
      <c r="A253" t="s">
        <v>119</v>
      </c>
      <c r="B253" t="s">
        <v>231</v>
      </c>
      <c r="D253" t="s">
        <v>169</v>
      </c>
      <c r="E253" t="s">
        <v>1178</v>
      </c>
      <c r="F253" t="s">
        <v>316</v>
      </c>
      <c r="G253">
        <v>1973</v>
      </c>
      <c r="X253" s="4" t="str">
        <f>IF(AND(T253&gt;0,W253&gt;0),(W253/((T253+U253)*10)),"")</f>
        <v/>
      </c>
      <c r="AF253" t="str">
        <f>CONCATENATE(VLOOKUP(AG253, 'Voxel Sizes'!$A$2:$B$18,2,FALSE),"x",INT(AC253*15), "x", INT(AD253*15))</f>
        <v>0x0x0</v>
      </c>
      <c r="AG253">
        <f>ROUND(15*((AB253*10)/256),0)</f>
        <v>0</v>
      </c>
      <c r="AI253" t="str">
        <f>CONCATENATE(VLOOKUP(AG253,Constants!$A$2:$C$16,IF(AH253&lt;&gt;"", 3, 2), FALSE),IF(AH253&lt;&gt;"",CONCATENATE(",",VLOOKUP(AH253,$B:$AI,34,FALSE)),""))</f>
        <v>na</v>
      </c>
      <c r="AP253">
        <v>40</v>
      </c>
      <c r="AQ253" t="str">
        <f>IF(I253&lt;&gt;"",MAX(8,(I253-G253)-4),"")</f>
        <v/>
      </c>
      <c r="AT253">
        <f>MIN(Y253/150, 1)*30</f>
        <v>0</v>
      </c>
      <c r="AU253">
        <f>MIN(K253/4000, 1)*20</f>
        <v>0</v>
      </c>
      <c r="AV253">
        <f>MIN(W253/400,1)*20</f>
        <v>0</v>
      </c>
      <c r="AW253" s="4">
        <v>1</v>
      </c>
      <c r="AX253">
        <f>((MAX($J253,1)*MIN($AE253/300,1)))*IF(D253="Wagon",50,10)</f>
        <v>0</v>
      </c>
      <c r="AY253">
        <f>VLOOKUP($E253,Constants!$I:$K, 2, FALSE)</f>
        <v>1</v>
      </c>
      <c r="AZ253">
        <f>VLOOKUP($E253,Constants!$I:$K, 3, FALSE)*IF(AND(D253="multiple_unit",Y253&lt;110),0.75,1)</f>
        <v>1</v>
      </c>
      <c r="BA253">
        <f>INT(POWER(((Constants!$G$2+$AT253+$AU253+$AV253+$AX253)*$AW253)*$AZ253, 1.05))+$AS253</f>
        <v>5</v>
      </c>
      <c r="BB253">
        <f>INT(((Constants!$G$1+$AT253+$AU253+$AV253+$AX253)*(1/$AW253))*$AY253)+$AR253</f>
        <v>35</v>
      </c>
      <c r="BL253" t="str">
        <f>VLOOKUP(G253,Eras!$A$2:$C$10, 2, TRUE)</f>
        <v>lbr</v>
      </c>
      <c r="BM253" t="s">
        <v>387</v>
      </c>
      <c r="BN253" t="str">
        <f>CONCATENATE(BL253,"_",BM253)</f>
        <v>lbr_LU</v>
      </c>
      <c r="BO253" t="str">
        <f t="shared" si="12"/>
        <v/>
      </c>
      <c r="BP253" t="str">
        <f t="shared" si="13"/>
        <v/>
      </c>
      <c r="BR253" t="str">
        <f t="shared" si="14"/>
        <v/>
      </c>
      <c r="BS253" t="str">
        <f t="shared" si="15"/>
        <v>{SILVER}</v>
      </c>
    </row>
    <row r="254" spans="1:71" x14ac:dyDescent="0.25">
      <c r="A254" t="s">
        <v>121</v>
      </c>
      <c r="B254" t="s">
        <v>233</v>
      </c>
      <c r="D254" t="s">
        <v>169</v>
      </c>
      <c r="E254" t="s">
        <v>1178</v>
      </c>
      <c r="F254" t="s">
        <v>316</v>
      </c>
      <c r="G254">
        <v>1983</v>
      </c>
      <c r="X254" s="4" t="str">
        <f>IF(AND(T254&gt;0,W254&gt;0),(W254/((T254+U254)*10)),"")</f>
        <v/>
      </c>
      <c r="AF254" t="str">
        <f>CONCATENATE(VLOOKUP(AG254, 'Voxel Sizes'!$A$2:$B$18,2,FALSE),"x",INT(AC254*15), "x", INT(AD254*15))</f>
        <v>0x0x0</v>
      </c>
      <c r="AG254">
        <f>ROUND(15*((AB254*10)/256),0)</f>
        <v>0</v>
      </c>
      <c r="AI254" t="str">
        <f>CONCATENATE(VLOOKUP(AG254,Constants!$A$2:$C$16,IF(AH254&lt;&gt;"", 3, 2), FALSE),IF(AH254&lt;&gt;"",CONCATENATE(",",VLOOKUP(AH254,$B:$AI,34,FALSE)),""))</f>
        <v>na</v>
      </c>
      <c r="AP254">
        <v>40</v>
      </c>
      <c r="AQ254" t="str">
        <f>IF(I254&lt;&gt;"",MAX(8,(I254-G254)-4),"")</f>
        <v/>
      </c>
      <c r="AT254">
        <f>MIN(Y254/150, 1)*30</f>
        <v>0</v>
      </c>
      <c r="AU254">
        <f>MIN(K254/4000, 1)*20</f>
        <v>0</v>
      </c>
      <c r="AV254">
        <f>MIN(W254/400,1)*20</f>
        <v>0</v>
      </c>
      <c r="AW254" s="4">
        <v>1</v>
      </c>
      <c r="AX254">
        <f>((MAX($J254,1)*MIN($AE254/300,1)))*IF(D254="Wagon",50,10)</f>
        <v>0</v>
      </c>
      <c r="AY254">
        <f>VLOOKUP($E254,Constants!$I:$K, 2, FALSE)</f>
        <v>1</v>
      </c>
      <c r="AZ254">
        <f>VLOOKUP($E254,Constants!$I:$K, 3, FALSE)*IF(AND(D254="multiple_unit",Y254&lt;110),0.75,1)</f>
        <v>1</v>
      </c>
      <c r="BA254">
        <f>INT(POWER(((Constants!$G$2+$AT254+$AU254+$AV254+$AX254)*$AW254)*$AZ254, 1.05))+$AS254</f>
        <v>5</v>
      </c>
      <c r="BB254">
        <f>INT(((Constants!$G$1+$AT254+$AU254+$AV254+$AX254)*(1/$AW254))*$AY254)+$AR254</f>
        <v>35</v>
      </c>
      <c r="BL254" t="str">
        <f>VLOOKUP(G254,Eras!$A$2:$C$10, 2, TRUE)</f>
        <v>lbr</v>
      </c>
      <c r="BM254" t="s">
        <v>387</v>
      </c>
      <c r="BN254" t="str">
        <f>CONCATENATE(BL254,"_",BM254)</f>
        <v>lbr_LU</v>
      </c>
      <c r="BO254" t="str">
        <f t="shared" si="12"/>
        <v/>
      </c>
      <c r="BP254" t="str">
        <f t="shared" si="13"/>
        <v/>
      </c>
      <c r="BR254" t="str">
        <f t="shared" si="14"/>
        <v/>
      </c>
      <c r="BS254" t="str">
        <f t="shared" si="15"/>
        <v>{SILVER}</v>
      </c>
    </row>
    <row r="255" spans="1:71" x14ac:dyDescent="0.25">
      <c r="A255" t="s">
        <v>120</v>
      </c>
      <c r="B255" t="s">
        <v>232</v>
      </c>
      <c r="D255" t="s">
        <v>169</v>
      </c>
      <c r="E255" t="s">
        <v>1178</v>
      </c>
      <c r="F255" t="s">
        <v>316</v>
      </c>
      <c r="G255">
        <v>1978</v>
      </c>
      <c r="X255" s="4" t="str">
        <f>IF(AND(T255&gt;0,W255&gt;0),(W255/((T255+U255)*10)),"")</f>
        <v/>
      </c>
      <c r="AF255" t="str">
        <f>CONCATENATE(VLOOKUP(AG255, 'Voxel Sizes'!$A$2:$B$18,2,FALSE),"x",INT(AC255*15), "x", INT(AD255*15))</f>
        <v>0x0x0</v>
      </c>
      <c r="AG255">
        <f>ROUND(15*((AB255*10)/256),0)</f>
        <v>0</v>
      </c>
      <c r="AI255" t="str">
        <f>CONCATENATE(VLOOKUP(AG255,Constants!$A$2:$C$16,IF(AH255&lt;&gt;"", 3, 2), FALSE),IF(AH255&lt;&gt;"",CONCATENATE(",",VLOOKUP(AH255,$B:$AI,34,FALSE)),""))</f>
        <v>na</v>
      </c>
      <c r="AP255">
        <v>40</v>
      </c>
      <c r="AQ255" t="str">
        <f>IF(I255&lt;&gt;"",MAX(8,(I255-G255)-4),"")</f>
        <v/>
      </c>
      <c r="AT255">
        <f>MIN(Y255/150, 1)*30</f>
        <v>0</v>
      </c>
      <c r="AU255">
        <f>MIN(K255/4000, 1)*20</f>
        <v>0</v>
      </c>
      <c r="AV255">
        <f>MIN(W255/400,1)*20</f>
        <v>0</v>
      </c>
      <c r="AW255" s="4">
        <v>1</v>
      </c>
      <c r="AX255">
        <f>((MAX($J255,1)*MIN($AE255/300,1)))*IF(D255="Wagon",50,10)</f>
        <v>0</v>
      </c>
      <c r="AY255">
        <f>VLOOKUP($E255,Constants!$I:$K, 2, FALSE)</f>
        <v>1</v>
      </c>
      <c r="AZ255">
        <f>VLOOKUP($E255,Constants!$I:$K, 3, FALSE)*IF(AND(D255="multiple_unit",Y255&lt;110),0.75,1)</f>
        <v>1</v>
      </c>
      <c r="BA255">
        <f>INT(POWER(((Constants!$G$2+$AT255+$AU255+$AV255+$AX255)*$AW255)*$AZ255, 1.05))+$AS255</f>
        <v>5</v>
      </c>
      <c r="BB255">
        <f>INT(((Constants!$G$1+$AT255+$AU255+$AV255+$AX255)*(1/$AW255))*$AY255)+$AR255</f>
        <v>35</v>
      </c>
      <c r="BL255" t="str">
        <f>VLOOKUP(G255,Eras!$A$2:$C$10, 2, TRUE)</f>
        <v>lbr</v>
      </c>
      <c r="BM255" t="s">
        <v>387</v>
      </c>
      <c r="BN255" t="str">
        <f>CONCATENATE(BL255,"_",BM255)</f>
        <v>lbr_LU</v>
      </c>
      <c r="BO255" t="str">
        <f t="shared" si="12"/>
        <v/>
      </c>
      <c r="BP255" t="str">
        <f t="shared" si="13"/>
        <v/>
      </c>
      <c r="BR255" t="str">
        <f t="shared" si="14"/>
        <v/>
      </c>
      <c r="BS255" t="str">
        <f t="shared" si="15"/>
        <v>{SILVER}</v>
      </c>
    </row>
    <row r="256" spans="1:71" x14ac:dyDescent="0.25">
      <c r="A256" t="s">
        <v>124</v>
      </c>
      <c r="B256" t="s">
        <v>235</v>
      </c>
      <c r="D256" t="s">
        <v>169</v>
      </c>
      <c r="E256" t="s">
        <v>1178</v>
      </c>
      <c r="F256" t="s">
        <v>316</v>
      </c>
      <c r="G256">
        <v>2009</v>
      </c>
      <c r="X256" s="4" t="str">
        <f>IF(AND(T256&gt;0,W256&gt;0),(W256/((T256+U256)*10)),"")</f>
        <v/>
      </c>
      <c r="AF256" t="str">
        <f>CONCATENATE(VLOOKUP(AG256, 'Voxel Sizes'!$A$2:$B$18,2,FALSE),"x",INT(AC256*15), "x", INT(AD256*15))</f>
        <v>0x0x0</v>
      </c>
      <c r="AG256">
        <f>ROUND(15*((AB256*10)/256),0)</f>
        <v>0</v>
      </c>
      <c r="AI256" t="str">
        <f>CONCATENATE(VLOOKUP(AG256,Constants!$A$2:$C$16,IF(AH256&lt;&gt;"", 3, 2), FALSE),IF(AH256&lt;&gt;"",CONCATENATE(",",VLOOKUP(AH256,$B:$AI,34,FALSE)),""))</f>
        <v>na</v>
      </c>
      <c r="AP256">
        <v>40</v>
      </c>
      <c r="AQ256" t="str">
        <f>IF(I256&lt;&gt;"",MAX(8,(I256-G256)-4),"")</f>
        <v/>
      </c>
      <c r="AT256">
        <f>MIN(Y256/150, 1)*30</f>
        <v>0</v>
      </c>
      <c r="AU256">
        <f>MIN(K256/4000, 1)*20</f>
        <v>0</v>
      </c>
      <c r="AV256">
        <f>MIN(W256/400,1)*20</f>
        <v>0</v>
      </c>
      <c r="AW256" s="4">
        <v>1</v>
      </c>
      <c r="AX256">
        <f>((MAX($J256,1)*MIN($AE256/300,1)))*IF(D256="Wagon",50,10)</f>
        <v>0</v>
      </c>
      <c r="AY256">
        <f>VLOOKUP($E256,Constants!$I:$K, 2, FALSE)</f>
        <v>1</v>
      </c>
      <c r="AZ256">
        <f>VLOOKUP($E256,Constants!$I:$K, 3, FALSE)*IF(AND(D256="multiple_unit",Y256&lt;110),0.75,1)</f>
        <v>1</v>
      </c>
      <c r="BA256">
        <f>INT(POWER(((Constants!$G$2+$AT256+$AU256+$AV256+$AX256)*$AW256)*$AZ256, 1.05))+$AS256</f>
        <v>5</v>
      </c>
      <c r="BB256">
        <f>INT(((Constants!$G$1+$AT256+$AU256+$AV256+$AX256)*(1/$AW256))*$AY256)+$AR256</f>
        <v>35</v>
      </c>
      <c r="BL256" t="str">
        <f>VLOOKUP(G256,Eras!$A$2:$C$10, 2, TRUE)</f>
        <v>mod</v>
      </c>
      <c r="BM256" t="s">
        <v>387</v>
      </c>
      <c r="BN256" t="str">
        <f>CONCATENATE(BL256,"_",BM256)</f>
        <v>mod_LU</v>
      </c>
      <c r="BO256" t="str">
        <f t="shared" si="12"/>
        <v/>
      </c>
      <c r="BP256" t="str">
        <f t="shared" si="13"/>
        <v/>
      </c>
      <c r="BR256" t="str">
        <f t="shared" si="14"/>
        <v/>
      </c>
      <c r="BS256" t="str">
        <f t="shared" si="15"/>
        <v>{SILVER}</v>
      </c>
    </row>
    <row r="257" spans="1:71" x14ac:dyDescent="0.25">
      <c r="A257" t="s">
        <v>125</v>
      </c>
      <c r="B257" t="s">
        <v>236</v>
      </c>
      <c r="D257" t="s">
        <v>169</v>
      </c>
      <c r="E257" t="s">
        <v>1178</v>
      </c>
      <c r="F257" t="s">
        <v>316</v>
      </c>
      <c r="G257">
        <v>2010</v>
      </c>
      <c r="X257" s="4" t="str">
        <f>IF(AND(T257&gt;0,W257&gt;0),(W257/((T257+U257)*10)),"")</f>
        <v/>
      </c>
      <c r="AF257" t="str">
        <f>CONCATENATE(VLOOKUP(AG257, 'Voxel Sizes'!$A$2:$B$18,2,FALSE),"x",INT(AC257*15), "x", INT(AD257*15))</f>
        <v>0x0x0</v>
      </c>
      <c r="AG257">
        <f>ROUND(15*((AB257*10)/256),0)</f>
        <v>0</v>
      </c>
      <c r="AI257" t="str">
        <f>CONCATENATE(VLOOKUP(AG257,Constants!$A$2:$C$16,IF(AH257&lt;&gt;"", 3, 2), FALSE),IF(AH257&lt;&gt;"",CONCATENATE(",",VLOOKUP(AH257,$B:$AI,34,FALSE)),""))</f>
        <v>na</v>
      </c>
      <c r="AP257">
        <v>40</v>
      </c>
      <c r="AQ257" t="str">
        <f>IF(I257&lt;&gt;"",MAX(8,(I257-G257)-4),"")</f>
        <v/>
      </c>
      <c r="AT257">
        <f>MIN(Y257/150, 1)*30</f>
        <v>0</v>
      </c>
      <c r="AU257">
        <f>MIN(K257/4000, 1)*20</f>
        <v>0</v>
      </c>
      <c r="AV257">
        <f>MIN(W257/400,1)*20</f>
        <v>0</v>
      </c>
      <c r="AW257" s="4">
        <v>1</v>
      </c>
      <c r="AX257">
        <f>((MAX($J257,1)*MIN($AE257/300,1)))*IF(D257="Wagon",50,10)</f>
        <v>0</v>
      </c>
      <c r="AY257">
        <f>VLOOKUP($E257,Constants!$I:$K, 2, FALSE)</f>
        <v>1</v>
      </c>
      <c r="AZ257">
        <f>VLOOKUP($E257,Constants!$I:$K, 3, FALSE)*IF(AND(D257="multiple_unit",Y257&lt;110),0.75,1)</f>
        <v>1</v>
      </c>
      <c r="BA257">
        <f>INT(POWER(((Constants!$G$2+$AT257+$AU257+$AV257+$AX257)*$AW257)*$AZ257, 1.05))+$AS257</f>
        <v>5</v>
      </c>
      <c r="BB257">
        <f>INT(((Constants!$G$1+$AT257+$AU257+$AV257+$AX257)*(1/$AW257))*$AY257)+$AR257</f>
        <v>35</v>
      </c>
      <c r="BL257" t="str">
        <f>VLOOKUP(G257,Eras!$A$2:$C$10, 2, TRUE)</f>
        <v>mod</v>
      </c>
      <c r="BM257" t="s">
        <v>387</v>
      </c>
      <c r="BN257" t="str">
        <f>CONCATENATE(BL257,"_",BM257)</f>
        <v>mod_LU</v>
      </c>
      <c r="BO257" t="str">
        <f t="shared" si="12"/>
        <v/>
      </c>
      <c r="BP257" t="str">
        <f t="shared" si="13"/>
        <v/>
      </c>
      <c r="BR257" t="str">
        <f t="shared" si="14"/>
        <v/>
      </c>
      <c r="BS257" t="str">
        <f t="shared" si="15"/>
        <v>{SILVER}</v>
      </c>
    </row>
    <row r="258" spans="1:71" x14ac:dyDescent="0.25">
      <c r="A258" t="s">
        <v>123</v>
      </c>
      <c r="B258" t="s">
        <v>268</v>
      </c>
      <c r="D258" t="s">
        <v>169</v>
      </c>
      <c r="E258" t="s">
        <v>1178</v>
      </c>
      <c r="F258" t="s">
        <v>316</v>
      </c>
      <c r="G258">
        <v>1995</v>
      </c>
      <c r="X258" s="4" t="str">
        <f>IF(AND(T258&gt;0,W258&gt;0),(W258/((T258+U258)*10)),"")</f>
        <v/>
      </c>
      <c r="AF258" t="str">
        <f>CONCATENATE(VLOOKUP(AG258, 'Voxel Sizes'!$A$2:$B$18,2,FALSE),"x",INT(AC258*15), "x", INT(AD258*15))</f>
        <v>0x0x0</v>
      </c>
      <c r="AG258">
        <f>ROUND(15*((AB258*10)/256),0)</f>
        <v>0</v>
      </c>
      <c r="AI258" t="str">
        <f>CONCATENATE(VLOOKUP(AG258,Constants!$A$2:$C$16,IF(AH258&lt;&gt;"", 3, 2), FALSE),IF(AH258&lt;&gt;"",CONCATENATE(",",VLOOKUP(AH258,$B:$AI,34,FALSE)),""))</f>
        <v>na</v>
      </c>
      <c r="AP258">
        <v>40</v>
      </c>
      <c r="AQ258" t="str">
        <f>IF(I258&lt;&gt;"",MAX(8,(I258-G258)-4),"")</f>
        <v/>
      </c>
      <c r="AT258">
        <f>MIN(Y258/150, 1)*30</f>
        <v>0</v>
      </c>
      <c r="AU258">
        <f>MIN(K258/4000, 1)*20</f>
        <v>0</v>
      </c>
      <c r="AV258">
        <f>MIN(W258/400,1)*20</f>
        <v>0</v>
      </c>
      <c r="AW258" s="4">
        <v>1</v>
      </c>
      <c r="AX258">
        <f>((MAX($J258,1)*MIN($AE258/300,1)))*IF(D258="Wagon",50,10)</f>
        <v>0</v>
      </c>
      <c r="AY258">
        <f>VLOOKUP($E258,Constants!$I:$K, 2, FALSE)</f>
        <v>1</v>
      </c>
      <c r="AZ258">
        <f>VLOOKUP($E258,Constants!$I:$K, 3, FALSE)*IF(AND(D258="multiple_unit",Y258&lt;110),0.75,1)</f>
        <v>1</v>
      </c>
      <c r="BA258">
        <f>INT(POWER(((Constants!$G$2+$AT258+$AU258+$AV258+$AX258)*$AW258)*$AZ258, 1.05))+$AS258</f>
        <v>5</v>
      </c>
      <c r="BB258">
        <f>INT(((Constants!$G$1+$AT258+$AU258+$AV258+$AX258)*(1/$AW258))*$AY258)+$AR258</f>
        <v>35</v>
      </c>
      <c r="BL258" t="str">
        <f>VLOOKUP(G258,Eras!$A$2:$C$10, 2, TRUE)</f>
        <v>prv</v>
      </c>
      <c r="BM258" t="s">
        <v>387</v>
      </c>
      <c r="BN258" t="str">
        <f>CONCATENATE(BL258,"_",BM258)</f>
        <v>prv_LU</v>
      </c>
      <c r="BO258" t="str">
        <f t="shared" si="12"/>
        <v/>
      </c>
      <c r="BP258" t="str">
        <f t="shared" si="13"/>
        <v/>
      </c>
      <c r="BR258" t="str">
        <f t="shared" si="14"/>
        <v/>
      </c>
      <c r="BS258" t="str">
        <f t="shared" si="15"/>
        <v>{SILVER}</v>
      </c>
    </row>
    <row r="259" spans="1:71" x14ac:dyDescent="0.25">
      <c r="A259" t="s">
        <v>122</v>
      </c>
      <c r="B259" t="s">
        <v>234</v>
      </c>
      <c r="D259" t="s">
        <v>169</v>
      </c>
      <c r="E259" t="s">
        <v>1178</v>
      </c>
      <c r="F259" t="s">
        <v>316</v>
      </c>
      <c r="G259">
        <v>1992</v>
      </c>
      <c r="X259" s="4" t="str">
        <f>IF(AND(T259&gt;0,W259&gt;0),(W259/((T259+U259)*10)),"")</f>
        <v/>
      </c>
      <c r="AF259" t="str">
        <f>CONCATENATE(VLOOKUP(AG259, 'Voxel Sizes'!$A$2:$B$18,2,FALSE),"x",INT(AC259*15), "x", INT(AD259*15))</f>
        <v>0x0x0</v>
      </c>
      <c r="AG259">
        <f>ROUND(15*((AB259*10)/256),0)</f>
        <v>0</v>
      </c>
      <c r="AI259" t="str">
        <f>CONCATENATE(VLOOKUP(AG259,Constants!$A$2:$C$16,IF(AH259&lt;&gt;"", 3, 2), FALSE),IF(AH259&lt;&gt;"",CONCATENATE(",",VLOOKUP(AH259,$B:$AI,34,FALSE)),""))</f>
        <v>na</v>
      </c>
      <c r="AP259">
        <v>40</v>
      </c>
      <c r="AQ259" t="str">
        <f>IF(I259&lt;&gt;"",MAX(8,(I259-G259)-4),"")</f>
        <v/>
      </c>
      <c r="AT259">
        <f>MIN(Y259/150, 1)*30</f>
        <v>0</v>
      </c>
      <c r="AU259">
        <f>MIN(K259/4000, 1)*20</f>
        <v>0</v>
      </c>
      <c r="AV259">
        <f>MIN(W259/400,1)*20</f>
        <v>0</v>
      </c>
      <c r="AW259" s="4">
        <v>1</v>
      </c>
      <c r="AX259">
        <f>((MAX($J259,1)*MIN($AE259/300,1)))*IF(D259="Wagon",50,10)</f>
        <v>0</v>
      </c>
      <c r="AY259">
        <f>VLOOKUP($E259,Constants!$I:$K, 2, FALSE)</f>
        <v>1</v>
      </c>
      <c r="AZ259">
        <f>VLOOKUP($E259,Constants!$I:$K, 3, FALSE)*IF(AND(D259="multiple_unit",Y259&lt;110),0.75,1)</f>
        <v>1</v>
      </c>
      <c r="BA259">
        <f>INT(POWER(((Constants!$G$2+$AT259+$AU259+$AV259+$AX259)*$AW259)*$AZ259, 1.05))+$AS259</f>
        <v>5</v>
      </c>
      <c r="BB259">
        <f>INT(((Constants!$G$1+$AT259+$AU259+$AV259+$AX259)*(1/$AW259))*$AY259)+$AR259</f>
        <v>35</v>
      </c>
      <c r="BL259" t="str">
        <f>VLOOKUP(G259,Eras!$A$2:$C$10, 2, TRUE)</f>
        <v>lbr</v>
      </c>
      <c r="BM259" t="s">
        <v>387</v>
      </c>
      <c r="BN259" t="str">
        <f>CONCATENATE(BL259,"_",BM259)</f>
        <v>lbr_LU</v>
      </c>
      <c r="BO259" t="str">
        <f t="shared" ref="BO259" si="16">IF(AND(BD259&lt;&gt;Y259,BD259&lt;&gt;""),_xlfn.CONCAT("{BLACK}","Tare speed: ","{GOLD}{VELOCITY}{}"), "")</f>
        <v/>
      </c>
      <c r="BP259" t="str">
        <f t="shared" ref="BP259" si="17">IF(J259&gt;1,_xlfn.CONCAT("{BLACK}Cars: {GOLD}", J259, "{}"),"")</f>
        <v/>
      </c>
      <c r="BR259" t="str">
        <f t="shared" ref="BR259" si="18">IF(BK259="BRAKE","{GOLD}Speed bonus for some loaded wagons{}","")</f>
        <v/>
      </c>
      <c r="BS259" t="str">
        <f t="shared" ref="BS259" si="19">_xlfn.CONCAT(BO259,BP259,BR259,"{SILVER}", BQ259)</f>
        <v>{SILVER}</v>
      </c>
    </row>
  </sheetData>
  <autoFilter ref="A1:BQ259" xr:uid="{CF2E8555-48EE-4386-A1B1-369F6A2E644F}">
    <sortState xmlns:xlrd2="http://schemas.microsoft.com/office/spreadsheetml/2017/richdata2" ref="A2:BQ259">
      <sortCondition ref="C92"/>
    </sortState>
  </autoFilter>
  <sortState xmlns:xlrd2="http://schemas.microsoft.com/office/spreadsheetml/2017/richdata2" ref="A2:BS259">
    <sortCondition ref="C91"/>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BM1:BM1048576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419</v>
      </c>
      <c r="D1" s="1" t="s">
        <v>369</v>
      </c>
      <c r="E1" s="1" t="s">
        <v>368</v>
      </c>
      <c r="F1" s="1" t="s">
        <v>370</v>
      </c>
      <c r="G1" s="1" t="s">
        <v>371</v>
      </c>
      <c r="H1" s="1" t="s">
        <v>379</v>
      </c>
      <c r="I1" s="1" t="s">
        <v>380</v>
      </c>
      <c r="J1" s="1" t="s">
        <v>381</v>
      </c>
      <c r="K1" s="1" t="s">
        <v>372</v>
      </c>
      <c r="L1" s="1" t="s">
        <v>373</v>
      </c>
      <c r="M1" s="1" t="s">
        <v>374</v>
      </c>
      <c r="N1" s="1" t="s">
        <v>375</v>
      </c>
      <c r="O1" s="1" t="s">
        <v>376</v>
      </c>
      <c r="P1" s="1" t="s">
        <v>387</v>
      </c>
      <c r="Q1" s="1" t="s">
        <v>377</v>
      </c>
      <c r="R1" s="1" t="s">
        <v>378</v>
      </c>
      <c r="S1" s="1" t="s">
        <v>382</v>
      </c>
      <c r="T1" s="1" t="s">
        <v>383</v>
      </c>
      <c r="U1" s="1" t="s">
        <v>384</v>
      </c>
      <c r="V1" s="1" t="s">
        <v>385</v>
      </c>
      <c r="W1" s="1" t="s">
        <v>761</v>
      </c>
    </row>
    <row r="2" spans="1:23" x14ac:dyDescent="0.25">
      <c r="A2" s="1" t="s">
        <v>366</v>
      </c>
      <c r="B2" s="1" t="s">
        <v>367</v>
      </c>
    </row>
    <row r="3" spans="1:23" x14ac:dyDescent="0.25">
      <c r="A3" t="s">
        <v>359</v>
      </c>
      <c r="B3" t="str">
        <f>VLOOKUP(A3, Eras!$B$2:$C$10, 2, FALSE)</f>
        <v>Early (1800-1850)</v>
      </c>
      <c r="C3">
        <f>COUNTIF(Table!$BN:$BN,CONCATENATE($A3,"_",C$1))</f>
        <v>0</v>
      </c>
      <c r="D3">
        <f>COUNTIF(Table!$BN:$BN,CONCATENATE($A3,"_",D$1))</f>
        <v>4</v>
      </c>
      <c r="E3">
        <f>COUNTIF(Table!$BN:$BN,CONCATENATE($A3,"_",E$1))</f>
        <v>0</v>
      </c>
      <c r="F3">
        <f>COUNTIF(Table!$BN:$BN,CONCATENATE($A3,"_",F$1))</f>
        <v>1</v>
      </c>
      <c r="G3">
        <f>COUNTIF(Table!$BN:$BN,CONCATENATE($A3,"_",G$1))</f>
        <v>0</v>
      </c>
      <c r="H3">
        <f>COUNTIF(Table!$BN:$BN,CONCATENATE($A3,"_",H$1))</f>
        <v>0</v>
      </c>
      <c r="I3">
        <f>COUNTIF(Table!$BN:$BN,CONCATENATE($A3,"_",I$1))</f>
        <v>0</v>
      </c>
      <c r="J3">
        <f>COUNTIF(Table!$BN:$BN,CONCATENATE($A3,"_",J$1))</f>
        <v>0</v>
      </c>
      <c r="K3">
        <f>COUNTIF(Table!$BN:$BN,CONCATENATE($A3,"_",K$1))</f>
        <v>0</v>
      </c>
      <c r="L3">
        <f>COUNTIF(Table!$BN:$BN,CONCATENATE($A3,"_",L$1))</f>
        <v>0</v>
      </c>
      <c r="M3">
        <f>COUNTIF(Table!$BN:$BN,CONCATENATE($A3,"_",M$1))</f>
        <v>0</v>
      </c>
      <c r="N3">
        <f>COUNTIF(Table!$BN:$BN,CONCATENATE($A3,"_",N$1))</f>
        <v>0</v>
      </c>
      <c r="O3">
        <f>COUNTIF(Table!$BN:$BN,CONCATENATE($A3,"_",O$1))</f>
        <v>0</v>
      </c>
      <c r="P3">
        <f>COUNTIF(Table!$BN:$BN,CONCATENATE($A3,"_",P$1))</f>
        <v>0</v>
      </c>
      <c r="Q3">
        <f>COUNTIF(Table!$BN:$BN,CONCATENATE($A3,"_",Q$1))</f>
        <v>0</v>
      </c>
      <c r="R3">
        <f>COUNTIF(Table!$BN:$BN,CONCATENATE($A3,"_",R$1))</f>
        <v>0</v>
      </c>
      <c r="S3">
        <f>COUNTIF(Table!$BN:$BN,CONCATENATE($A3,"_",S$1))</f>
        <v>0</v>
      </c>
      <c r="T3">
        <f>COUNTIF(Table!$BN:$BN,CONCATENATE($A3,"_",T$1))</f>
        <v>0</v>
      </c>
      <c r="U3">
        <f>COUNTIF(Table!$BN:$BN,CONCATENATE($A3,"_",U$1))</f>
        <v>0</v>
      </c>
      <c r="V3">
        <f>COUNTIF(Table!$BN:$BN,CONCATENATE($A3,"_",V$1))</f>
        <v>0</v>
      </c>
      <c r="W3">
        <f>COUNTIF(Table!$BN:$BN,CONCATENATE($A3,"_",W$1))</f>
        <v>0</v>
      </c>
    </row>
    <row r="4" spans="1:23" x14ac:dyDescent="0.25">
      <c r="A4" t="s">
        <v>426</v>
      </c>
      <c r="B4" t="str">
        <f>VLOOKUP(A4, Eras!$B$2:$C$10, 2, FALSE)</f>
        <v>Victorian (1850-1900)</v>
      </c>
      <c r="C4">
        <f>COUNTIF(Table!$BN:$BN,CONCATENATE($A4,"_",C$1))</f>
        <v>0</v>
      </c>
      <c r="D4">
        <f>COUNTIF(Table!$BN:$BN,CONCATENATE($A4,"_",D$1))</f>
        <v>0</v>
      </c>
      <c r="E4">
        <f>COUNTIF(Table!$BN:$BN,CONCATENATE($A4,"_",E$1))</f>
        <v>1</v>
      </c>
      <c r="F4">
        <f>COUNTIF(Table!$BN:$BN,CONCATENATE($A4,"_",F$1))</f>
        <v>1</v>
      </c>
      <c r="G4">
        <f>COUNTIF(Table!$BN:$BN,CONCATENATE($A4,"_",G$1))</f>
        <v>0</v>
      </c>
      <c r="H4">
        <f>COUNTIF(Table!$BN:$BN,CONCATENATE($A4,"_",H$1))</f>
        <v>0</v>
      </c>
      <c r="I4">
        <f>COUNTIF(Table!$BN:$BN,CONCATENATE($A4,"_",I$1))</f>
        <v>0</v>
      </c>
      <c r="J4">
        <f>COUNTIF(Table!$BN:$BN,CONCATENATE($A4,"_",J$1))</f>
        <v>0</v>
      </c>
      <c r="K4">
        <f>COUNTIF(Table!$BN:$BN,CONCATENATE($A4,"_",K$1))</f>
        <v>0</v>
      </c>
      <c r="L4">
        <f>COUNTIF(Table!$BN:$BN,CONCATENATE($A4,"_",L$1))</f>
        <v>0</v>
      </c>
      <c r="M4">
        <f>COUNTIF(Table!$BN:$BN,CONCATENATE($A4,"_",M$1))</f>
        <v>0</v>
      </c>
      <c r="N4">
        <f>COUNTIF(Table!$BN:$BN,CONCATENATE($A4,"_",N$1))</f>
        <v>1</v>
      </c>
      <c r="O4">
        <f>COUNTIF(Table!$BN:$BN,CONCATENATE($A4,"_",O$1))</f>
        <v>0</v>
      </c>
      <c r="P4">
        <f>COUNTIF(Table!$BN:$BN,CONCATENATE($A4,"_",P$1))</f>
        <v>0</v>
      </c>
      <c r="Q4">
        <f>COUNTIF(Table!$BN:$BN,CONCATENATE($A4,"_",Q$1))</f>
        <v>1</v>
      </c>
      <c r="R4">
        <f>COUNTIF(Table!$BN:$BN,CONCATENATE($A4,"_",R$1))</f>
        <v>0</v>
      </c>
      <c r="S4">
        <f>COUNTIF(Table!$BN:$BN,CONCATENATE($A4,"_",S$1))</f>
        <v>1</v>
      </c>
      <c r="T4">
        <f>COUNTIF(Table!$BN:$BN,CONCATENATE($A4,"_",T$1))</f>
        <v>1</v>
      </c>
      <c r="U4">
        <f>COUNTIF(Table!$BN:$BN,CONCATENATE($A4,"_",U$1))</f>
        <v>2</v>
      </c>
      <c r="V4">
        <f>COUNTIF(Table!$BN:$BN,CONCATENATE($A4,"_",V$1))</f>
        <v>1</v>
      </c>
      <c r="W4">
        <f>COUNTIF(Table!$BN:$BN,CONCATENATE($A4,"_",W$1))</f>
        <v>1</v>
      </c>
    </row>
    <row r="5" spans="1:23" x14ac:dyDescent="0.25">
      <c r="A5" t="s">
        <v>360</v>
      </c>
      <c r="B5" t="str">
        <f>VLOOKUP(A5, Eras!$B$2:$C$10, 2, FALSE)</f>
        <v>Edwardian (1900-1920)</v>
      </c>
      <c r="C5">
        <f>COUNTIF(Table!$BN:$BN,CONCATENATE($A5,"_",C$1))</f>
        <v>2</v>
      </c>
      <c r="D5">
        <f>COUNTIF(Table!$BN:$BN,CONCATENATE($A5,"_",D$1))</f>
        <v>1</v>
      </c>
      <c r="E5">
        <f>COUNTIF(Table!$BN:$BN,CONCATENATE($A5,"_",E$1))</f>
        <v>1</v>
      </c>
      <c r="F5">
        <f>COUNTIF(Table!$BN:$BN,CONCATENATE($A5,"_",F$1))</f>
        <v>1</v>
      </c>
      <c r="G5">
        <f>COUNTIF(Table!$BN:$BN,CONCATENATE($A5,"_",G$1))</f>
        <v>2</v>
      </c>
      <c r="H5">
        <f>COUNTIF(Table!$BN:$BN,CONCATENATE($A5,"_",H$1))</f>
        <v>0</v>
      </c>
      <c r="I5">
        <f>COUNTIF(Table!$BN:$BN,CONCATENATE($A5,"_",I$1))</f>
        <v>0</v>
      </c>
      <c r="J5">
        <f>COUNTIF(Table!$BN:$BN,CONCATENATE($A5,"_",J$1))</f>
        <v>2</v>
      </c>
      <c r="K5">
        <f>COUNTIF(Table!$BN:$BN,CONCATENATE($A5,"_",K$1))</f>
        <v>1</v>
      </c>
      <c r="L5">
        <f>COUNTIF(Table!$BN:$BN,CONCATENATE($A5,"_",L$1))</f>
        <v>0</v>
      </c>
      <c r="M5">
        <f>COUNTIF(Table!$BN:$BN,CONCATENATE($A5,"_",M$1))</f>
        <v>0</v>
      </c>
      <c r="N5">
        <f>COUNTIF(Table!$BN:$BN,CONCATENATE($A5,"_",N$1))</f>
        <v>1</v>
      </c>
      <c r="O5">
        <f>COUNTIF(Table!$BN:$BN,CONCATENATE($A5,"_",O$1))</f>
        <v>0</v>
      </c>
      <c r="P5">
        <f>COUNTIF(Table!$BN:$BN,CONCATENATE($A5,"_",P$1))</f>
        <v>1</v>
      </c>
      <c r="Q5">
        <f>COUNTIF(Table!$BN:$BN,CONCATENATE($A5,"_",Q$1))</f>
        <v>1</v>
      </c>
      <c r="R5">
        <f>COUNTIF(Table!$BN:$BN,CONCATENATE($A5,"_",R$1))</f>
        <v>0</v>
      </c>
      <c r="S5">
        <f>COUNTIF(Table!$BN:$BN,CONCATENATE($A5,"_",S$1))</f>
        <v>1</v>
      </c>
      <c r="T5">
        <f>COUNTIF(Table!$BN:$BN,CONCATENATE($A5,"_",T$1))</f>
        <v>3</v>
      </c>
      <c r="U5">
        <f>COUNTIF(Table!$BN:$BN,CONCATENATE($A5,"_",U$1))</f>
        <v>2</v>
      </c>
      <c r="V5">
        <f>COUNTIF(Table!$BN:$BN,CONCATENATE($A5,"_",V$1))</f>
        <v>1</v>
      </c>
      <c r="W5">
        <f>COUNTIF(Table!$BN:$BN,CONCATENATE($A5,"_",W$1))</f>
        <v>0</v>
      </c>
    </row>
    <row r="6" spans="1:23" x14ac:dyDescent="0.25">
      <c r="A6" t="s">
        <v>361</v>
      </c>
      <c r="B6" t="str">
        <f>VLOOKUP(A6, Eras!$B$2:$C$10, 2, FALSE)</f>
        <v>Big Four (1923-1948)</v>
      </c>
      <c r="C6">
        <f>COUNTIF(Table!$BN:$BN,CONCATENATE($A6,"_",C$1))</f>
        <v>1</v>
      </c>
      <c r="D6">
        <f>COUNTIF(Table!$BN:$BN,CONCATENATE($A6,"_",D$1))</f>
        <v>11</v>
      </c>
      <c r="E6">
        <f>COUNTIF(Table!$BN:$BN,CONCATENATE($A6,"_",E$1))</f>
        <v>6</v>
      </c>
      <c r="F6">
        <f>COUNTIF(Table!$BN:$BN,CONCATENATE($A6,"_",F$1))</f>
        <v>10</v>
      </c>
      <c r="G6">
        <f>COUNTIF(Table!$BN:$BN,CONCATENATE($A6,"_",G$1))</f>
        <v>2</v>
      </c>
      <c r="H6">
        <f>COUNTIF(Table!$BN:$BN,CONCATENATE($A6,"_",H$1))</f>
        <v>1</v>
      </c>
      <c r="I6">
        <f>COUNTIF(Table!$BN:$BN,CONCATENATE($A6,"_",I$1))</f>
        <v>0</v>
      </c>
      <c r="J6">
        <f>COUNTIF(Table!$BN:$BN,CONCATENATE($A6,"_",J$1))</f>
        <v>0</v>
      </c>
      <c r="K6">
        <f>COUNTIF(Table!$BN:$BN,CONCATENATE($A6,"_",K$1))</f>
        <v>1</v>
      </c>
      <c r="L6">
        <f>COUNTIF(Table!$BN:$BN,CONCATENATE($A6,"_",L$1))</f>
        <v>0</v>
      </c>
      <c r="M6">
        <f>COUNTIF(Table!$BN:$BN,CONCATENATE($A6,"_",M$1))</f>
        <v>0</v>
      </c>
      <c r="N6">
        <f>COUNTIF(Table!$BN:$BN,CONCATENATE($A6,"_",N$1))</f>
        <v>2</v>
      </c>
      <c r="O6">
        <f>COUNTIF(Table!$BN:$BN,CONCATENATE($A6,"_",O$1))</f>
        <v>1</v>
      </c>
      <c r="P6">
        <f>COUNTIF(Table!$BN:$BN,CONCATENATE($A6,"_",P$1))</f>
        <v>1</v>
      </c>
      <c r="Q6">
        <f>COUNTIF(Table!$BN:$BN,CONCATENATE($A6,"_",Q$1))</f>
        <v>2</v>
      </c>
      <c r="R6">
        <f>COUNTIF(Table!$BN:$BN,CONCATENATE($A6,"_",R$1))</f>
        <v>0</v>
      </c>
      <c r="S6">
        <f>COUNTIF(Table!$BN:$BN,CONCATENATE($A6,"_",S$1))</f>
        <v>1</v>
      </c>
      <c r="T6">
        <f>COUNTIF(Table!$BN:$BN,CONCATENATE($A6,"_",T$1))</f>
        <v>1</v>
      </c>
      <c r="U6">
        <f>COUNTIF(Table!$BN:$BN,CONCATENATE($A6,"_",U$1))</f>
        <v>2</v>
      </c>
      <c r="V6">
        <f>COUNTIF(Table!$BN:$BN,CONCATENATE($A6,"_",V$1))</f>
        <v>1</v>
      </c>
      <c r="W6">
        <f>COUNTIF(Table!$BN:$BN,CONCATENATE($A6,"_",W$1))</f>
        <v>2</v>
      </c>
    </row>
    <row r="7" spans="1:23" x14ac:dyDescent="0.25">
      <c r="A7" t="s">
        <v>696</v>
      </c>
      <c r="B7" t="str">
        <f>VLOOKUP(A7, Eras!$B$2:$C$10, 2, FALSE)</f>
        <v>Early BR (1948-1955)</v>
      </c>
      <c r="C7">
        <f>COUNTIF(Table!$BN:$BN,CONCATENATE($A7,"_",C$1))</f>
        <v>0</v>
      </c>
      <c r="D7">
        <f>COUNTIF(Table!$BN:$BN,CONCATENATE($A7,"_",D$1))</f>
        <v>2</v>
      </c>
      <c r="E7">
        <f>COUNTIF(Table!$BN:$BN,CONCATENATE($A7,"_",E$1))</f>
        <v>1</v>
      </c>
      <c r="F7">
        <f>COUNTIF(Table!$BN:$BN,CONCATENATE($A7,"_",F$1))</f>
        <v>1</v>
      </c>
      <c r="G7">
        <f>COUNTIF(Table!$BN:$BN,CONCATENATE($A7,"_",G$1))</f>
        <v>1</v>
      </c>
      <c r="H7">
        <f>COUNTIF(Table!$BN:$BN,CONCATENATE($A7,"_",H$1))</f>
        <v>0</v>
      </c>
      <c r="I7">
        <f>COUNTIF(Table!$BN:$BN,CONCATENATE($A7,"_",I$1))</f>
        <v>1</v>
      </c>
      <c r="J7">
        <f>COUNTIF(Table!$BN:$BN,CONCATENATE($A7,"_",J$1))</f>
        <v>1</v>
      </c>
      <c r="K7">
        <f>COUNTIF(Table!$BN:$BN,CONCATENATE($A7,"_",K$1))</f>
        <v>0</v>
      </c>
      <c r="L7">
        <f>COUNTIF(Table!$BN:$BN,CONCATENATE($A7,"_",L$1))</f>
        <v>0</v>
      </c>
      <c r="M7">
        <f>COUNTIF(Table!$BN:$BN,CONCATENATE($A7,"_",M$1))</f>
        <v>0</v>
      </c>
      <c r="N7">
        <f>COUNTIF(Table!$BN:$BN,CONCATENATE($A7,"_",N$1))</f>
        <v>1</v>
      </c>
      <c r="O7">
        <f>COUNTIF(Table!$BN:$BN,CONCATENATE($A7,"_",O$1))</f>
        <v>0</v>
      </c>
      <c r="P7">
        <f>COUNTIF(Table!$BN:$BN,CONCATENATE($A7,"_",P$1))</f>
        <v>0</v>
      </c>
      <c r="Q7">
        <f>COUNTIF(Table!$BN:$BN,CONCATENATE($A7,"_",Q$1))</f>
        <v>1</v>
      </c>
      <c r="R7">
        <f>COUNTIF(Table!$BN:$BN,CONCATENATE($A7,"_",R$1))</f>
        <v>1</v>
      </c>
      <c r="S7">
        <f>COUNTIF(Table!$BN:$BN,CONCATENATE($A7,"_",S$1))</f>
        <v>1</v>
      </c>
      <c r="T7">
        <f>COUNTIF(Table!$BN:$BN,CONCATENATE($A7,"_",T$1))</f>
        <v>1</v>
      </c>
      <c r="U7">
        <f>COUNTIF(Table!$BN:$BN,CONCATENATE($A7,"_",U$1))</f>
        <v>0</v>
      </c>
      <c r="V7">
        <f>COUNTIF(Table!$BN:$BN,CONCATENATE($A7,"_",V$1))</f>
        <v>0</v>
      </c>
      <c r="W7">
        <f>COUNTIF(Table!$BN:$BN,CONCATENATE($A7,"_",W$1))</f>
        <v>0</v>
      </c>
    </row>
    <row r="8" spans="1:23" x14ac:dyDescent="0.25">
      <c r="A8" t="s">
        <v>362</v>
      </c>
      <c r="B8" t="str">
        <f>VLOOKUP(A8, Eras!$B$2:$C$10, 2, FALSE)</f>
        <v>Dieselisation (1955-1970)</v>
      </c>
      <c r="C8">
        <f>COUNTIF(Table!$BN:$BN,CONCATENATE($A8,"_",C$1))</f>
        <v>1</v>
      </c>
      <c r="D8">
        <f>COUNTIF(Table!$BN:$BN,CONCATENATE($A8,"_",D$1))</f>
        <v>7</v>
      </c>
      <c r="E8">
        <f>COUNTIF(Table!$BN:$BN,CONCATENATE($A8,"_",E$1))</f>
        <v>2</v>
      </c>
      <c r="F8">
        <f>COUNTIF(Table!$BN:$BN,CONCATENATE($A8,"_",F$1))</f>
        <v>5</v>
      </c>
      <c r="G8">
        <f>COUNTIF(Table!$BN:$BN,CONCATENATE($A8,"_",G$1))</f>
        <v>4</v>
      </c>
      <c r="H8">
        <f>COUNTIF(Table!$BN:$BN,CONCATENATE($A8,"_",H$1))</f>
        <v>1</v>
      </c>
      <c r="I8">
        <f>COUNTIF(Table!$BN:$BN,CONCATENATE($A8,"_",I$1))</f>
        <v>2</v>
      </c>
      <c r="J8">
        <f>COUNTIF(Table!$BN:$BN,CONCATENATE($A8,"_",J$1))</f>
        <v>0</v>
      </c>
      <c r="K8">
        <f>COUNTIF(Table!$BN:$BN,CONCATENATE($A8,"_",K$1))</f>
        <v>0</v>
      </c>
      <c r="L8">
        <f>COUNTIF(Table!$BN:$BN,CONCATENATE($A8,"_",L$1))</f>
        <v>3</v>
      </c>
      <c r="M8">
        <f>COUNTIF(Table!$BN:$BN,CONCATENATE($A8,"_",M$1))</f>
        <v>3</v>
      </c>
      <c r="N8">
        <f>COUNTIF(Table!$BN:$BN,CONCATENATE($A8,"_",N$1))</f>
        <v>0</v>
      </c>
      <c r="O8">
        <f>COUNTIF(Table!$BN:$BN,CONCATENATE($A8,"_",O$1))</f>
        <v>2</v>
      </c>
      <c r="P8">
        <f>COUNTIF(Table!$BN:$BN,CONCATENATE($A8,"_",P$1))</f>
        <v>4</v>
      </c>
      <c r="Q8">
        <f>COUNTIF(Table!$BN:$BN,CONCATENATE($A8,"_",Q$1))</f>
        <v>1</v>
      </c>
      <c r="R8">
        <f>COUNTIF(Table!$BN:$BN,CONCATENATE($A8,"_",R$1))</f>
        <v>1</v>
      </c>
      <c r="S8">
        <f>COUNTIF(Table!$BN:$BN,CONCATENATE($A8,"_",S$1))</f>
        <v>1</v>
      </c>
      <c r="T8">
        <f>COUNTIF(Table!$BN:$BN,CONCATENATE($A8,"_",T$1))</f>
        <v>0</v>
      </c>
      <c r="U8">
        <f>COUNTIF(Table!$BN:$BN,CONCATENATE($A8,"_",U$1))</f>
        <v>3</v>
      </c>
      <c r="V8">
        <f>COUNTIF(Table!$BN:$BN,CONCATENATE($A8,"_",V$1))</f>
        <v>1</v>
      </c>
      <c r="W8">
        <f>COUNTIF(Table!$BN:$BN,CONCATENATE($A8,"_",W$1))</f>
        <v>1</v>
      </c>
    </row>
    <row r="9" spans="1:23" x14ac:dyDescent="0.25">
      <c r="A9" t="s">
        <v>697</v>
      </c>
      <c r="B9" t="str">
        <f>VLOOKUP(A9, Eras!$B$2:$C$10, 2, FALSE)</f>
        <v>Late BR (1970-1995)</v>
      </c>
      <c r="C9">
        <f>COUNTIF(Table!$BN:$BN,CONCATENATE($A9,"_",C$1))</f>
        <v>0</v>
      </c>
      <c r="D9">
        <f>COUNTIF(Table!$BN:$BN,CONCATENATE($A9,"_",D$1))</f>
        <v>0</v>
      </c>
      <c r="E9">
        <f>COUNTIF(Table!$BN:$BN,CONCATENATE($A9,"_",E$1))</f>
        <v>0</v>
      </c>
      <c r="F9">
        <f>COUNTIF(Table!$BN:$BN,CONCATENATE($A9,"_",F$1))</f>
        <v>2</v>
      </c>
      <c r="G9">
        <f>COUNTIF(Table!$BN:$BN,CONCATENATE($A9,"_",G$1))</f>
        <v>5</v>
      </c>
      <c r="H9">
        <f>COUNTIF(Table!$BN:$BN,CONCATENATE($A9,"_",H$1))</f>
        <v>0</v>
      </c>
      <c r="I9">
        <f>COUNTIF(Table!$BN:$BN,CONCATENATE($A9,"_",I$1))</f>
        <v>3</v>
      </c>
      <c r="J9">
        <f>COUNTIF(Table!$BN:$BN,CONCATENATE($A9,"_",J$1))</f>
        <v>0</v>
      </c>
      <c r="K9">
        <f>COUNTIF(Table!$BN:$BN,CONCATENATE($A9,"_",K$1))</f>
        <v>1</v>
      </c>
      <c r="L9">
        <f>COUNTIF(Table!$BN:$BN,CONCATENATE($A9,"_",L$1))</f>
        <v>3</v>
      </c>
      <c r="M9">
        <f>COUNTIF(Table!$BN:$BN,CONCATENATE($A9,"_",M$1))</f>
        <v>1</v>
      </c>
      <c r="N9">
        <f>COUNTIF(Table!$BN:$BN,CONCATENATE($A9,"_",N$1))</f>
        <v>6</v>
      </c>
      <c r="O9">
        <f>COUNTIF(Table!$BN:$BN,CONCATENATE($A9,"_",O$1))</f>
        <v>8</v>
      </c>
      <c r="P9">
        <f>COUNTIF(Table!$BN:$BN,CONCATENATE($A9,"_",P$1))</f>
        <v>4</v>
      </c>
      <c r="Q9">
        <f>COUNTIF(Table!$BN:$BN,CONCATENATE($A9,"_",Q$1))</f>
        <v>2</v>
      </c>
      <c r="R9">
        <f>COUNTIF(Table!$BN:$BN,CONCATENATE($A9,"_",R$1))</f>
        <v>0</v>
      </c>
      <c r="S9">
        <f>COUNTIF(Table!$BN:$BN,CONCATENATE($A9,"_",S$1))</f>
        <v>2</v>
      </c>
      <c r="T9">
        <f>COUNTIF(Table!$BN:$BN,CONCATENATE($A9,"_",T$1))</f>
        <v>2</v>
      </c>
      <c r="U9">
        <f>COUNTIF(Table!$BN:$BN,CONCATENATE($A9,"_",U$1))</f>
        <v>3</v>
      </c>
      <c r="V9">
        <f>COUNTIF(Table!$BN:$BN,CONCATENATE($A9,"_",V$1))</f>
        <v>1</v>
      </c>
      <c r="W9">
        <f>COUNTIF(Table!$BN:$BN,CONCATENATE($A9,"_",W$1))</f>
        <v>1</v>
      </c>
    </row>
    <row r="10" spans="1:23" x14ac:dyDescent="0.25">
      <c r="A10" t="s">
        <v>363</v>
      </c>
      <c r="B10" t="str">
        <f>VLOOKUP(A10, Eras!$B$2:$C$10, 2, FALSE)</f>
        <v>Privatisation (1995-2005)</v>
      </c>
      <c r="C10">
        <f>COUNTIF(Table!$BN:$BN,CONCATENATE($A10,"_",C$1))</f>
        <v>0</v>
      </c>
      <c r="D10">
        <f>COUNTIF(Table!$BN:$BN,CONCATENATE($A10,"_",D$1))</f>
        <v>0</v>
      </c>
      <c r="E10">
        <f>COUNTIF(Table!$BN:$BN,CONCATENATE($A10,"_",E$1))</f>
        <v>0</v>
      </c>
      <c r="F10">
        <f>COUNTIF(Table!$BN:$BN,CONCATENATE($A10,"_",F$1))</f>
        <v>0</v>
      </c>
      <c r="G10">
        <f>COUNTIF(Table!$BN:$BN,CONCATENATE($A10,"_",G$1))</f>
        <v>3</v>
      </c>
      <c r="H10">
        <f>COUNTIF(Table!$BN:$BN,CONCATENATE($A10,"_",H$1))</f>
        <v>0</v>
      </c>
      <c r="I10">
        <f>COUNTIF(Table!$BN:$BN,CONCATENATE($A10,"_",I$1))</f>
        <v>0</v>
      </c>
      <c r="J10">
        <f>COUNTIF(Table!$BN:$BN,CONCATENATE($A10,"_",J$1))</f>
        <v>0</v>
      </c>
      <c r="K10">
        <f>COUNTIF(Table!$BN:$BN,CONCATENATE($A10,"_",K$1))</f>
        <v>0</v>
      </c>
      <c r="L10">
        <f>COUNTIF(Table!$BN:$BN,CONCATENATE($A10,"_",L$1))</f>
        <v>1</v>
      </c>
      <c r="M10">
        <f>COUNTIF(Table!$BN:$BN,CONCATENATE($A10,"_",M$1))</f>
        <v>4</v>
      </c>
      <c r="N10">
        <f>COUNTIF(Table!$BN:$BN,CONCATENATE($A10,"_",N$1))</f>
        <v>2</v>
      </c>
      <c r="O10">
        <f>COUNTIF(Table!$BN:$BN,CONCATENATE($A10,"_",O$1))</f>
        <v>7</v>
      </c>
      <c r="P10">
        <f>COUNTIF(Table!$BN:$BN,CONCATENATE($A10,"_",P$1))</f>
        <v>1</v>
      </c>
      <c r="Q10">
        <f>COUNTIF(Table!$BN:$BN,CONCATENATE($A10,"_",Q$1))</f>
        <v>0</v>
      </c>
      <c r="R10">
        <f>COUNTIF(Table!$BN:$BN,CONCATENATE($A10,"_",R$1))</f>
        <v>0</v>
      </c>
      <c r="S10">
        <f>COUNTIF(Table!$BN:$BN,CONCATENATE($A10,"_",S$1))</f>
        <v>1</v>
      </c>
      <c r="T10">
        <f>COUNTIF(Table!$BN:$BN,CONCATENATE($A10,"_",T$1))</f>
        <v>1</v>
      </c>
      <c r="U10">
        <f>COUNTIF(Table!$BN:$BN,CONCATENATE($A10,"_",U$1))</f>
        <v>0</v>
      </c>
      <c r="V10">
        <f>COUNTIF(Table!$BN:$BN,CONCATENATE($A10,"_",V$1))</f>
        <v>0</v>
      </c>
      <c r="W10">
        <f>COUNTIF(Table!$BN:$BN,CONCATENATE($A10,"_",W$1))</f>
        <v>1</v>
      </c>
    </row>
    <row r="11" spans="1:23" x14ac:dyDescent="0.25">
      <c r="A11" t="s">
        <v>364</v>
      </c>
      <c r="B11" t="str">
        <f>VLOOKUP(A11, Eras!$B$2:$C$10, 2, FALSE)</f>
        <v>Modern (2005-)</v>
      </c>
      <c r="C11">
        <f>COUNTIF(Table!$BN:$BN,CONCATENATE($A11,"_",C$1))</f>
        <v>0</v>
      </c>
      <c r="D11">
        <f>COUNTIF(Table!$BN:$BN,CONCATENATE($A11,"_",D$1))</f>
        <v>1</v>
      </c>
      <c r="E11">
        <f>COUNTIF(Table!$BN:$BN,CONCATENATE($A11,"_",E$1))</f>
        <v>0</v>
      </c>
      <c r="F11">
        <f>COUNTIF(Table!$BN:$BN,CONCATENATE($A11,"_",F$1))</f>
        <v>0</v>
      </c>
      <c r="G11">
        <f>COUNTIF(Table!$BN:$BN,CONCATENATE($A11,"_",G$1))</f>
        <v>1</v>
      </c>
      <c r="H11">
        <f>COUNTIF(Table!$BN:$BN,CONCATENATE($A11,"_",H$1))</f>
        <v>0</v>
      </c>
      <c r="I11">
        <f>COUNTIF(Table!$BN:$BN,CONCATENATE($A11,"_",I$1))</f>
        <v>0</v>
      </c>
      <c r="J11">
        <f>COUNTIF(Table!$BN:$BN,CONCATENATE($A11,"_",J$1))</f>
        <v>1</v>
      </c>
      <c r="K11">
        <f>COUNTIF(Table!$BN:$BN,CONCATENATE($A11,"_",K$1))</f>
        <v>0</v>
      </c>
      <c r="L11">
        <f>COUNTIF(Table!$BN:$BN,CONCATENATE($A11,"_",L$1))</f>
        <v>1</v>
      </c>
      <c r="M11">
        <f>COUNTIF(Table!$BN:$BN,CONCATENATE($A11,"_",M$1))</f>
        <v>0</v>
      </c>
      <c r="N11">
        <f>COUNTIF(Table!$BN:$BN,CONCATENATE($A11,"_",N$1))</f>
        <v>1</v>
      </c>
      <c r="O11">
        <f>COUNTIF(Table!$BN:$BN,CONCATENATE($A11,"_",O$1))</f>
        <v>1</v>
      </c>
      <c r="P11">
        <f>COUNTIF(Table!$BN:$BN,CONCATENATE($A11,"_",P$1))</f>
        <v>2</v>
      </c>
      <c r="Q11">
        <f>COUNTIF(Table!$BN:$BN,CONCATENATE($A11,"_",Q$1))</f>
        <v>0</v>
      </c>
      <c r="R11">
        <f>COUNTIF(Table!$BN:$BN,CONCATENATE($A11,"_",R$1))</f>
        <v>0</v>
      </c>
      <c r="S11">
        <f>COUNTIF(Table!$BN:$BN,CONCATENATE($A11,"_",S$1))</f>
        <v>1</v>
      </c>
      <c r="T11">
        <f>COUNTIF(Table!$BN:$BN,CONCATENATE($A11,"_",T$1))</f>
        <v>1</v>
      </c>
      <c r="U11">
        <f>COUNTIF(Table!$BN:$BN,CONCATENATE($A11,"_",U$1))</f>
        <v>0</v>
      </c>
      <c r="V11">
        <f>COUNTIF(Table!$BN:$BN,CONCATENATE($A11,"_",V$1))</f>
        <v>0</v>
      </c>
      <c r="W11">
        <f>COUNTIF(Table!$BN:$BN,CONCATENATE($A11,"_",W$1))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352</v>
      </c>
      <c r="B1" s="1" t="s">
        <v>358</v>
      </c>
      <c r="C1" s="1" t="s">
        <v>353</v>
      </c>
    </row>
    <row r="2" spans="1:3" x14ac:dyDescent="0.25">
      <c r="A2">
        <v>1800</v>
      </c>
      <c r="B2" t="s">
        <v>359</v>
      </c>
      <c r="C2" t="s">
        <v>425</v>
      </c>
    </row>
    <row r="3" spans="1:3" x14ac:dyDescent="0.25">
      <c r="A3">
        <v>1850</v>
      </c>
      <c r="B3" t="s">
        <v>426</v>
      </c>
      <c r="C3" t="s">
        <v>424</v>
      </c>
    </row>
    <row r="4" spans="1:3" x14ac:dyDescent="0.25">
      <c r="A4">
        <v>1900</v>
      </c>
      <c r="B4" t="s">
        <v>360</v>
      </c>
      <c r="C4" t="s">
        <v>354</v>
      </c>
    </row>
    <row r="5" spans="1:3" x14ac:dyDescent="0.25">
      <c r="A5">
        <v>1923</v>
      </c>
      <c r="B5" t="s">
        <v>361</v>
      </c>
      <c r="C5" t="s">
        <v>467</v>
      </c>
    </row>
    <row r="6" spans="1:3" x14ac:dyDescent="0.25">
      <c r="A6">
        <v>1948</v>
      </c>
      <c r="B6" t="s">
        <v>696</v>
      </c>
      <c r="C6" t="s">
        <v>355</v>
      </c>
    </row>
    <row r="7" spans="1:3" x14ac:dyDescent="0.25">
      <c r="A7">
        <v>1955</v>
      </c>
      <c r="B7" t="s">
        <v>362</v>
      </c>
      <c r="C7" t="s">
        <v>699</v>
      </c>
    </row>
    <row r="8" spans="1:3" x14ac:dyDescent="0.25">
      <c r="A8">
        <v>1970</v>
      </c>
      <c r="B8" t="s">
        <v>697</v>
      </c>
      <c r="C8" t="s">
        <v>698</v>
      </c>
    </row>
    <row r="9" spans="1:3" x14ac:dyDescent="0.25">
      <c r="A9">
        <v>1995</v>
      </c>
      <c r="B9" t="s">
        <v>363</v>
      </c>
      <c r="C9" t="s">
        <v>356</v>
      </c>
    </row>
    <row r="10" spans="1:3" x14ac:dyDescent="0.25">
      <c r="A10">
        <v>2005</v>
      </c>
      <c r="B10" t="s">
        <v>364</v>
      </c>
      <c r="C10" t="s">
        <v>357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1" sqref="G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287</v>
      </c>
      <c r="B1" s="1" t="s">
        <v>288</v>
      </c>
      <c r="C1" s="1" t="s">
        <v>553</v>
      </c>
      <c r="F1" s="1" t="s">
        <v>1166</v>
      </c>
      <c r="G1">
        <v>35</v>
      </c>
      <c r="I1" s="1" t="s">
        <v>1170</v>
      </c>
      <c r="J1" s="1" t="s">
        <v>1171</v>
      </c>
      <c r="K1" s="1" t="s">
        <v>1172</v>
      </c>
    </row>
    <row r="2" spans="1:11" x14ac:dyDescent="0.25">
      <c r="A2" s="2">
        <v>0</v>
      </c>
      <c r="B2" s="2" t="s">
        <v>169</v>
      </c>
      <c r="F2" s="1" t="s">
        <v>1167</v>
      </c>
      <c r="G2">
        <v>5</v>
      </c>
      <c r="I2" t="s">
        <v>314</v>
      </c>
      <c r="J2">
        <v>1</v>
      </c>
      <c r="K2">
        <v>2</v>
      </c>
    </row>
    <row r="3" spans="1:11" x14ac:dyDescent="0.25">
      <c r="A3">
        <v>3</v>
      </c>
      <c r="B3" t="s">
        <v>334</v>
      </c>
      <c r="C3" t="s">
        <v>334</v>
      </c>
      <c r="I3" t="s">
        <v>338</v>
      </c>
      <c r="J3">
        <v>0.85</v>
      </c>
      <c r="K3">
        <v>2.2999999999999998</v>
      </c>
    </row>
    <row r="4" spans="1:11" x14ac:dyDescent="0.25">
      <c r="A4">
        <v>4</v>
      </c>
      <c r="B4" t="s">
        <v>775</v>
      </c>
      <c r="C4" t="s">
        <v>775</v>
      </c>
      <c r="I4" t="s">
        <v>313</v>
      </c>
      <c r="J4">
        <v>1.1499999999999999</v>
      </c>
      <c r="K4">
        <v>1.7</v>
      </c>
    </row>
    <row r="5" spans="1:11" x14ac:dyDescent="0.25">
      <c r="A5">
        <v>5</v>
      </c>
      <c r="B5" t="s">
        <v>770</v>
      </c>
      <c r="C5" t="s">
        <v>770</v>
      </c>
      <c r="I5" t="s">
        <v>596</v>
      </c>
      <c r="J5">
        <v>0.9</v>
      </c>
      <c r="K5">
        <v>2.5</v>
      </c>
    </row>
    <row r="6" spans="1:11" x14ac:dyDescent="0.25">
      <c r="A6">
        <v>6</v>
      </c>
      <c r="B6" t="s">
        <v>346</v>
      </c>
      <c r="C6" t="s">
        <v>346</v>
      </c>
      <c r="I6" t="s">
        <v>607</v>
      </c>
      <c r="J6">
        <v>0.85</v>
      </c>
      <c r="K6">
        <v>2.4</v>
      </c>
    </row>
    <row r="7" spans="1:11" x14ac:dyDescent="0.25">
      <c r="A7">
        <v>7</v>
      </c>
      <c r="B7" t="s">
        <v>768</v>
      </c>
      <c r="C7" t="s">
        <v>768</v>
      </c>
      <c r="I7" t="s">
        <v>1175</v>
      </c>
      <c r="J7">
        <v>1.2</v>
      </c>
      <c r="K7">
        <v>0.6</v>
      </c>
    </row>
    <row r="8" spans="1:11" x14ac:dyDescent="0.25">
      <c r="A8">
        <v>8</v>
      </c>
      <c r="B8" t="s">
        <v>765</v>
      </c>
      <c r="C8" t="s">
        <v>765</v>
      </c>
      <c r="I8" t="s">
        <v>1176</v>
      </c>
      <c r="J8">
        <v>1.5</v>
      </c>
      <c r="K8">
        <v>0.7</v>
      </c>
    </row>
    <row r="9" spans="1:11" x14ac:dyDescent="0.25">
      <c r="A9">
        <v>9</v>
      </c>
      <c r="B9" t="s">
        <v>767</v>
      </c>
      <c r="C9" t="s">
        <v>767</v>
      </c>
      <c r="I9" t="s">
        <v>323</v>
      </c>
      <c r="J9">
        <v>1</v>
      </c>
      <c r="K9">
        <v>0.45</v>
      </c>
    </row>
    <row r="10" spans="1:11" x14ac:dyDescent="0.25">
      <c r="A10">
        <v>10</v>
      </c>
      <c r="B10" t="s">
        <v>769</v>
      </c>
      <c r="C10" t="s">
        <v>769</v>
      </c>
      <c r="I10" t="s">
        <v>1177</v>
      </c>
      <c r="J10">
        <v>1</v>
      </c>
      <c r="K10">
        <v>0.4</v>
      </c>
    </row>
    <row r="11" spans="1:11" x14ac:dyDescent="0.25">
      <c r="A11">
        <v>11</v>
      </c>
      <c r="B11" t="s">
        <v>771</v>
      </c>
      <c r="C11" t="s">
        <v>771</v>
      </c>
      <c r="I11" t="s">
        <v>1178</v>
      </c>
      <c r="J11">
        <v>1</v>
      </c>
      <c r="K11">
        <v>1</v>
      </c>
    </row>
    <row r="12" spans="1:11" x14ac:dyDescent="0.25">
      <c r="A12">
        <v>12</v>
      </c>
      <c r="B12" t="s">
        <v>764</v>
      </c>
      <c r="C12" t="s">
        <v>764</v>
      </c>
      <c r="I12" t="s">
        <v>333</v>
      </c>
      <c r="J12">
        <v>0</v>
      </c>
      <c r="K12">
        <v>0</v>
      </c>
    </row>
    <row r="13" spans="1:11" x14ac:dyDescent="0.25">
      <c r="A13">
        <v>13</v>
      </c>
      <c r="B13" t="s">
        <v>772</v>
      </c>
      <c r="C13" t="s">
        <v>772</v>
      </c>
    </row>
    <row r="14" spans="1:11" x14ac:dyDescent="0.25">
      <c r="A14">
        <v>14</v>
      </c>
      <c r="B14" t="s">
        <v>766</v>
      </c>
      <c r="C14" t="s">
        <v>766</v>
      </c>
    </row>
    <row r="15" spans="1:11" x14ac:dyDescent="0.25">
      <c r="A15">
        <v>15</v>
      </c>
      <c r="B15" t="s">
        <v>773</v>
      </c>
      <c r="C15" t="s">
        <v>773</v>
      </c>
    </row>
    <row r="16" spans="1:11" x14ac:dyDescent="0.25">
      <c r="A16">
        <v>16</v>
      </c>
      <c r="B16" t="s">
        <v>774</v>
      </c>
      <c r="C16" t="s">
        <v>774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341</v>
      </c>
      <c r="B1" s="1" t="s">
        <v>342</v>
      </c>
      <c r="C1" s="1" t="s">
        <v>343</v>
      </c>
      <c r="D1" s="1" t="s">
        <v>344</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732</v>
      </c>
    </row>
    <row r="3" spans="1:21" x14ac:dyDescent="0.25">
      <c r="A3" t="s">
        <v>744</v>
      </c>
      <c r="B3" t="s">
        <v>728</v>
      </c>
      <c r="C3" t="s">
        <v>731</v>
      </c>
      <c r="D3" t="s">
        <v>731</v>
      </c>
      <c r="E3" t="s">
        <v>731</v>
      </c>
      <c r="F3" t="s">
        <v>731</v>
      </c>
      <c r="G3" t="s">
        <v>735</v>
      </c>
      <c r="H3" t="s">
        <v>734</v>
      </c>
      <c r="I3" t="s">
        <v>734</v>
      </c>
      <c r="J3" t="s">
        <v>736</v>
      </c>
      <c r="K3" t="s">
        <v>731</v>
      </c>
      <c r="L3" t="s">
        <v>731</v>
      </c>
      <c r="M3" t="s">
        <v>731</v>
      </c>
      <c r="N3" t="s">
        <v>731</v>
      </c>
      <c r="O3" t="s">
        <v>733</v>
      </c>
    </row>
    <row r="4" spans="1:21" x14ac:dyDescent="0.25">
      <c r="A4" t="s">
        <v>745</v>
      </c>
      <c r="B4">
        <v>1</v>
      </c>
      <c r="C4">
        <v>1</v>
      </c>
      <c r="D4">
        <v>0</v>
      </c>
      <c r="E4">
        <v>0</v>
      </c>
      <c r="F4">
        <v>0</v>
      </c>
      <c r="G4">
        <v>1</v>
      </c>
      <c r="H4">
        <v>1</v>
      </c>
      <c r="I4">
        <v>0</v>
      </c>
      <c r="J4">
        <v>1</v>
      </c>
      <c r="K4">
        <v>0</v>
      </c>
      <c r="L4">
        <v>0</v>
      </c>
      <c r="M4">
        <v>0</v>
      </c>
      <c r="N4">
        <v>0</v>
      </c>
      <c r="O4">
        <v>1</v>
      </c>
    </row>
    <row r="6" spans="1:21" ht="14.25" customHeight="1" x14ac:dyDescent="0.25">
      <c r="B6" t="s">
        <v>743</v>
      </c>
    </row>
    <row r="7" spans="1:21" x14ac:dyDescent="0.25">
      <c r="A7" t="s">
        <v>744</v>
      </c>
      <c r="B7" t="s">
        <v>703</v>
      </c>
      <c r="C7" t="s">
        <v>749</v>
      </c>
      <c r="D7" t="s">
        <v>748</v>
      </c>
      <c r="E7" t="s">
        <v>748</v>
      </c>
      <c r="F7" t="s">
        <v>748</v>
      </c>
      <c r="G7" t="s">
        <v>748</v>
      </c>
      <c r="H7" t="s">
        <v>750</v>
      </c>
      <c r="I7" t="s">
        <v>748</v>
      </c>
      <c r="J7" t="s">
        <v>748</v>
      </c>
      <c r="K7" t="s">
        <v>748</v>
      </c>
      <c r="L7" t="s">
        <v>748</v>
      </c>
      <c r="M7" t="s">
        <v>748</v>
      </c>
      <c r="N7" t="s">
        <v>748</v>
      </c>
      <c r="O7" t="s">
        <v>750</v>
      </c>
      <c r="P7" t="s">
        <v>748</v>
      </c>
      <c r="Q7" t="s">
        <v>748</v>
      </c>
      <c r="R7" t="s">
        <v>748</v>
      </c>
      <c r="S7" t="s">
        <v>748</v>
      </c>
      <c r="T7" t="s">
        <v>751</v>
      </c>
      <c r="U7" t="s">
        <v>752</v>
      </c>
    </row>
    <row r="8" spans="1:21" x14ac:dyDescent="0.25">
      <c r="A8" t="s">
        <v>745</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287</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746</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747</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757</v>
      </c>
    </row>
    <row r="18" spans="1:9" x14ac:dyDescent="0.25">
      <c r="A18" t="s">
        <v>744</v>
      </c>
      <c r="B18" t="s">
        <v>703</v>
      </c>
      <c r="C18" t="s">
        <v>749</v>
      </c>
      <c r="D18" t="s">
        <v>748</v>
      </c>
      <c r="E18" t="s">
        <v>750</v>
      </c>
      <c r="F18" t="s">
        <v>748</v>
      </c>
      <c r="G18" t="s">
        <v>750</v>
      </c>
      <c r="H18" t="s">
        <v>751</v>
      </c>
      <c r="I18" t="s">
        <v>752</v>
      </c>
    </row>
    <row r="19" spans="1:9" x14ac:dyDescent="0.25">
      <c r="A19" t="s">
        <v>745</v>
      </c>
      <c r="B19">
        <v>0</v>
      </c>
      <c r="C19">
        <v>0</v>
      </c>
      <c r="D19">
        <v>0</v>
      </c>
      <c r="E19">
        <v>0</v>
      </c>
      <c r="F19">
        <v>0</v>
      </c>
      <c r="G19">
        <v>0</v>
      </c>
      <c r="H19">
        <v>0</v>
      </c>
      <c r="I19">
        <v>0</v>
      </c>
    </row>
    <row r="20" spans="1:9" x14ac:dyDescent="0.25">
      <c r="A20" t="s">
        <v>287</v>
      </c>
      <c r="B20">
        <v>22.15</v>
      </c>
      <c r="C20">
        <v>21.84</v>
      </c>
      <c r="D20">
        <v>18.7</v>
      </c>
      <c r="E20">
        <v>18.7</v>
      </c>
      <c r="F20">
        <v>18.7</v>
      </c>
      <c r="G20">
        <v>18.7</v>
      </c>
      <c r="H20">
        <v>21.84</v>
      </c>
      <c r="I20">
        <v>22.15</v>
      </c>
    </row>
    <row r="21" spans="1:9" x14ac:dyDescent="0.25">
      <c r="A21" t="s">
        <v>746</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747</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883</v>
      </c>
      <c r="B1" s="1" t="s">
        <v>882</v>
      </c>
      <c r="C1" s="1" t="s">
        <v>1109</v>
      </c>
      <c r="F1" s="1" t="s">
        <v>1117</v>
      </c>
      <c r="G1" s="1" t="s">
        <v>353</v>
      </c>
      <c r="H1" s="1" t="s">
        <v>1119</v>
      </c>
      <c r="J1" s="1" t="s">
        <v>1132</v>
      </c>
      <c r="K1" s="1" t="s">
        <v>1133</v>
      </c>
      <c r="L1" s="1" t="s">
        <v>1134</v>
      </c>
      <c r="M1" s="1" t="s">
        <v>1135</v>
      </c>
      <c r="N1" s="1" t="s">
        <v>1120</v>
      </c>
      <c r="O1" s="1" t="s">
        <v>1128</v>
      </c>
      <c r="P1" s="1" t="s">
        <v>1126</v>
      </c>
      <c r="Q1" s="1" t="s">
        <v>1124</v>
      </c>
      <c r="R1" s="1" t="s">
        <v>1160</v>
      </c>
    </row>
    <row r="2" spans="1:18" ht="15.75" customHeight="1" x14ac:dyDescent="0.25">
      <c r="A2" t="s">
        <v>929</v>
      </c>
      <c r="B2" t="s">
        <v>987</v>
      </c>
      <c r="C2" t="s">
        <v>1035</v>
      </c>
      <c r="D2" t="str">
        <f t="shared" ref="D2:D33" si="0">CONCATENATE("""", A2, """,")</f>
        <v>"ACID",</v>
      </c>
      <c r="F2" t="s">
        <v>1085</v>
      </c>
      <c r="G2" s="14" t="str">
        <f>VLOOKUP(F2,A:B,2, FALSE)</f>
        <v>Batteries</v>
      </c>
      <c r="H2" s="14" t="s">
        <v>1128</v>
      </c>
      <c r="J2" t="s">
        <v>1131</v>
      </c>
      <c r="K2">
        <v>136</v>
      </c>
      <c r="L2">
        <v>38</v>
      </c>
      <c r="M2">
        <v>28</v>
      </c>
      <c r="N2">
        <f>K2/45</f>
        <v>3.0222222222222221</v>
      </c>
      <c r="O2">
        <f>K2/30</f>
        <v>4.5333333333333332</v>
      </c>
      <c r="P2">
        <f>K2/34</f>
        <v>4</v>
      </c>
      <c r="Q2">
        <f>K2/68</f>
        <v>2</v>
      </c>
      <c r="R2">
        <f>K2/60</f>
        <v>2.2666666666666666</v>
      </c>
    </row>
    <row r="3" spans="1:18" x14ac:dyDescent="0.25">
      <c r="A3" t="s">
        <v>888</v>
      </c>
      <c r="B3" t="s">
        <v>950</v>
      </c>
      <c r="C3" t="s">
        <v>1007</v>
      </c>
      <c r="D3" t="str">
        <f t="shared" si="0"/>
        <v>"AORE",</v>
      </c>
      <c r="F3" t="s">
        <v>897</v>
      </c>
      <c r="G3" s="14" t="str">
        <f t="shared" ref="G3:G42" si="1">VLOOKUP(F3,A:B,2, FALSE)</f>
        <v>Bulding Materials</v>
      </c>
      <c r="H3" s="14" t="s">
        <v>1120</v>
      </c>
      <c r="J3" t="s">
        <v>1136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1085</v>
      </c>
      <c r="B4" t="s">
        <v>1086</v>
      </c>
      <c r="C4" t="s">
        <v>1011</v>
      </c>
      <c r="D4" t="str">
        <f t="shared" si="0"/>
        <v>"BATT",</v>
      </c>
      <c r="F4" t="s">
        <v>896</v>
      </c>
      <c r="G4" s="14" t="str">
        <f t="shared" si="1"/>
        <v>Beer</v>
      </c>
      <c r="H4" s="14" t="s">
        <v>1128</v>
      </c>
      <c r="J4" t="s">
        <v>1137</v>
      </c>
      <c r="K4">
        <v>136</v>
      </c>
      <c r="L4">
        <v>38</v>
      </c>
      <c r="M4">
        <v>28</v>
      </c>
      <c r="N4">
        <f t="shared" si="2"/>
        <v>3.0222222222222221</v>
      </c>
      <c r="O4">
        <f t="shared" si="3"/>
        <v>4.5333333333333332</v>
      </c>
      <c r="P4">
        <f t="shared" si="4"/>
        <v>4</v>
      </c>
      <c r="Q4">
        <f t="shared" si="5"/>
        <v>2</v>
      </c>
      <c r="R4">
        <f t="shared" si="6"/>
        <v>2.2666666666666666</v>
      </c>
    </row>
    <row r="5" spans="1:18" x14ac:dyDescent="0.25">
      <c r="A5" t="s">
        <v>897</v>
      </c>
      <c r="B5" t="s">
        <v>962</v>
      </c>
      <c r="C5" t="s">
        <v>1023</v>
      </c>
      <c r="D5" t="str">
        <f t="shared" si="0"/>
        <v>"BDMT",</v>
      </c>
      <c r="F5" t="s">
        <v>1024</v>
      </c>
      <c r="G5" s="14" t="str">
        <f t="shared" si="1"/>
        <v>Explosives</v>
      </c>
      <c r="H5" s="14" t="s">
        <v>1128</v>
      </c>
      <c r="J5" t="s">
        <v>1138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1020</v>
      </c>
      <c r="B6" t="s">
        <v>1021</v>
      </c>
      <c r="C6" t="s">
        <v>1007</v>
      </c>
      <c r="D6" t="str">
        <f t="shared" si="0"/>
        <v>"BEAN",</v>
      </c>
      <c r="F6" t="s">
        <v>926</v>
      </c>
      <c r="G6" s="14" t="str">
        <f t="shared" si="1"/>
        <v>Bricks</v>
      </c>
      <c r="H6" s="14" t="s">
        <v>1120</v>
      </c>
      <c r="J6" t="s">
        <v>1139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896</v>
      </c>
      <c r="B7" t="s">
        <v>961</v>
      </c>
      <c r="C7" t="s">
        <v>1022</v>
      </c>
      <c r="D7" t="str">
        <f t="shared" si="0"/>
        <v>"BEER",</v>
      </c>
      <c r="F7" t="s">
        <v>1087</v>
      </c>
      <c r="G7" s="14" t="str">
        <f t="shared" si="1"/>
        <v>Bubbles</v>
      </c>
      <c r="H7" s="14" t="s">
        <v>1128</v>
      </c>
      <c r="J7" t="s">
        <v>1140</v>
      </c>
      <c r="K7">
        <v>180</v>
      </c>
      <c r="L7">
        <v>38</v>
      </c>
      <c r="M7">
        <v>28</v>
      </c>
      <c r="N7">
        <f t="shared" si="2"/>
        <v>4</v>
      </c>
      <c r="O7">
        <f t="shared" si="3"/>
        <v>6</v>
      </c>
      <c r="P7">
        <f t="shared" si="4"/>
        <v>5.2941176470588234</v>
      </c>
      <c r="Q7">
        <f t="shared" si="5"/>
        <v>2.6470588235294117</v>
      </c>
      <c r="R7">
        <f t="shared" si="6"/>
        <v>3</v>
      </c>
    </row>
    <row r="8" spans="1:18" x14ac:dyDescent="0.25">
      <c r="A8" t="s">
        <v>1024</v>
      </c>
      <c r="B8" t="s">
        <v>1025</v>
      </c>
      <c r="C8" t="s">
        <v>1026</v>
      </c>
      <c r="D8" t="str">
        <f t="shared" si="0"/>
        <v>"BOOM",</v>
      </c>
      <c r="F8" t="s">
        <v>1030</v>
      </c>
      <c r="G8" s="14" t="str">
        <f t="shared" si="1"/>
        <v>Ceramics</v>
      </c>
      <c r="H8" s="14" t="s">
        <v>1128</v>
      </c>
      <c r="J8" t="s">
        <v>1141</v>
      </c>
      <c r="K8">
        <v>180</v>
      </c>
      <c r="L8">
        <v>38</v>
      </c>
      <c r="M8">
        <v>28</v>
      </c>
      <c r="N8">
        <f t="shared" si="2"/>
        <v>4</v>
      </c>
      <c r="O8">
        <f t="shared" si="3"/>
        <v>6</v>
      </c>
      <c r="P8">
        <f t="shared" si="4"/>
        <v>5.2941176470588234</v>
      </c>
      <c r="Q8">
        <f t="shared" si="5"/>
        <v>2.6470588235294117</v>
      </c>
      <c r="R8">
        <f t="shared" si="6"/>
        <v>3</v>
      </c>
    </row>
    <row r="9" spans="1:18" x14ac:dyDescent="0.25">
      <c r="A9" t="s">
        <v>926</v>
      </c>
      <c r="B9" t="s">
        <v>985</v>
      </c>
      <c r="C9" t="s">
        <v>1011</v>
      </c>
      <c r="D9" t="str">
        <f t="shared" si="0"/>
        <v>"BRCK",</v>
      </c>
      <c r="F9" t="s">
        <v>902</v>
      </c>
      <c r="G9" s="14" t="str">
        <f t="shared" si="1"/>
        <v>Copper</v>
      </c>
      <c r="H9" s="14" t="s">
        <v>1125</v>
      </c>
      <c r="J9" t="s">
        <v>1142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1087</v>
      </c>
      <c r="B10" t="s">
        <v>1088</v>
      </c>
      <c r="C10" t="s">
        <v>1011</v>
      </c>
      <c r="D10" t="str">
        <f t="shared" si="0"/>
        <v>"BUBL",</v>
      </c>
      <c r="F10" t="s">
        <v>927</v>
      </c>
      <c r="G10" s="14" t="str">
        <f t="shared" si="1"/>
        <v>Cast Iron</v>
      </c>
      <c r="H10" s="14" t="s">
        <v>1125</v>
      </c>
    </row>
    <row r="11" spans="1:18" x14ac:dyDescent="0.25">
      <c r="A11" t="s">
        <v>941</v>
      </c>
      <c r="B11" t="s">
        <v>998</v>
      </c>
      <c r="C11" t="s">
        <v>1007</v>
      </c>
      <c r="D11" t="str">
        <f t="shared" si="0"/>
        <v>"CASS",</v>
      </c>
      <c r="F11" t="s">
        <v>1092</v>
      </c>
      <c r="G11" s="14" t="str">
        <f t="shared" si="1"/>
        <v>Fizzy Drinks</v>
      </c>
      <c r="H11" s="14" t="s">
        <v>1128</v>
      </c>
    </row>
    <row r="12" spans="1:18" x14ac:dyDescent="0.25">
      <c r="A12" t="s">
        <v>1027</v>
      </c>
      <c r="B12" t="s">
        <v>1028</v>
      </c>
      <c r="C12" t="s">
        <v>1029</v>
      </c>
      <c r="D12" t="str">
        <f t="shared" si="0"/>
        <v>"CBLK",</v>
      </c>
      <c r="F12" t="s">
        <v>933</v>
      </c>
      <c r="G12" s="14" t="str">
        <f t="shared" si="1"/>
        <v>Iron</v>
      </c>
      <c r="H12" s="14" t="s">
        <v>1125</v>
      </c>
    </row>
    <row r="13" spans="1:18" x14ac:dyDescent="0.25">
      <c r="A13" t="s">
        <v>1030</v>
      </c>
      <c r="B13" t="s">
        <v>1031</v>
      </c>
      <c r="C13" t="s">
        <v>1011</v>
      </c>
      <c r="D13" t="str">
        <f t="shared" si="0"/>
        <v>"CERA",</v>
      </c>
      <c r="F13" t="s">
        <v>925</v>
      </c>
      <c r="G13" s="14" t="str">
        <f t="shared" si="1"/>
        <v>Coffee</v>
      </c>
      <c r="H13" s="14" t="s">
        <v>1128</v>
      </c>
    </row>
    <row r="14" spans="1:18" x14ac:dyDescent="0.25">
      <c r="A14" t="s">
        <v>909</v>
      </c>
      <c r="B14" t="s">
        <v>1002</v>
      </c>
      <c r="C14" t="s">
        <v>1032</v>
      </c>
      <c r="D14" t="str">
        <f t="shared" si="0"/>
        <v>"CERE",</v>
      </c>
      <c r="F14" t="s">
        <v>923</v>
      </c>
      <c r="G14" s="14" t="str">
        <f t="shared" si="1"/>
        <v>Metal</v>
      </c>
      <c r="H14" s="14" t="s">
        <v>1125</v>
      </c>
    </row>
    <row r="15" spans="1:18" x14ac:dyDescent="0.25">
      <c r="A15" t="s">
        <v>930</v>
      </c>
      <c r="B15" t="s">
        <v>986</v>
      </c>
      <c r="C15" t="s">
        <v>1035</v>
      </c>
      <c r="D15" t="str">
        <f t="shared" si="0"/>
        <v>"CHLO",</v>
      </c>
      <c r="F15" t="s">
        <v>1068</v>
      </c>
      <c r="G15" s="14" t="str">
        <f t="shared" si="1"/>
        <v>Nuts</v>
      </c>
      <c r="H15" s="14" t="s">
        <v>1128</v>
      </c>
    </row>
    <row r="16" spans="1:18" x14ac:dyDescent="0.25">
      <c r="A16" t="s">
        <v>890</v>
      </c>
      <c r="B16" t="s">
        <v>952</v>
      </c>
      <c r="C16" t="s">
        <v>1033</v>
      </c>
      <c r="D16" t="str">
        <f t="shared" si="0"/>
        <v>"CLAY",</v>
      </c>
      <c r="F16" t="s">
        <v>899</v>
      </c>
      <c r="G16" s="14" t="str">
        <f t="shared" si="1"/>
        <v>Paper</v>
      </c>
      <c r="H16" s="14" t="s">
        <v>1128</v>
      </c>
    </row>
    <row r="17" spans="1:8" x14ac:dyDescent="0.25">
      <c r="A17" t="s">
        <v>932</v>
      </c>
      <c r="B17" t="s">
        <v>993</v>
      </c>
      <c r="C17" t="s">
        <v>1033</v>
      </c>
      <c r="D17" t="str">
        <f t="shared" si="0"/>
        <v>"CMNT",</v>
      </c>
      <c r="F17" t="s">
        <v>1070</v>
      </c>
      <c r="G17" s="14" t="str">
        <f t="shared" si="1"/>
        <v>Pipe</v>
      </c>
      <c r="H17" s="14" t="s">
        <v>1121</v>
      </c>
    </row>
    <row r="18" spans="1:8" x14ac:dyDescent="0.25">
      <c r="A18" t="s">
        <v>782</v>
      </c>
      <c r="B18" t="s">
        <v>946</v>
      </c>
      <c r="C18" t="s">
        <v>1007</v>
      </c>
      <c r="D18" t="str">
        <f t="shared" si="0"/>
        <v>"COAL",</v>
      </c>
      <c r="F18" t="s">
        <v>1072</v>
      </c>
      <c r="G18" s="14" t="str">
        <f t="shared" si="1"/>
        <v>Electrical Equipment</v>
      </c>
      <c r="H18" s="14" t="s">
        <v>1128</v>
      </c>
    </row>
    <row r="19" spans="1:8" x14ac:dyDescent="0.25">
      <c r="A19" t="s">
        <v>931</v>
      </c>
      <c r="B19" t="s">
        <v>988</v>
      </c>
      <c r="C19" t="s">
        <v>1007</v>
      </c>
      <c r="D19" t="str">
        <f t="shared" si="0"/>
        <v>"COKE",</v>
      </c>
      <c r="F19" t="s">
        <v>1074</v>
      </c>
      <c r="G19" s="14" t="str">
        <f t="shared" si="1"/>
        <v>Alloy Steel</v>
      </c>
      <c r="H19" s="14" t="s">
        <v>1125</v>
      </c>
    </row>
    <row r="20" spans="1:8" x14ac:dyDescent="0.25">
      <c r="A20" t="s">
        <v>1089</v>
      </c>
      <c r="B20" t="s">
        <v>1090</v>
      </c>
      <c r="C20" t="s">
        <v>1009</v>
      </c>
      <c r="D20" t="str">
        <f t="shared" si="0"/>
        <v>"COLA",</v>
      </c>
      <c r="F20" t="s">
        <v>1076</v>
      </c>
      <c r="G20" s="14" t="str">
        <f t="shared" si="1"/>
        <v>Carbon Steel</v>
      </c>
      <c r="H20" s="14" t="s">
        <v>1125</v>
      </c>
    </row>
    <row r="21" spans="1:8" x14ac:dyDescent="0.25">
      <c r="A21" t="s">
        <v>902</v>
      </c>
      <c r="B21" t="s">
        <v>1034</v>
      </c>
      <c r="C21" t="s">
        <v>1011</v>
      </c>
      <c r="D21" t="str">
        <f t="shared" si="0"/>
        <v>"COPR",</v>
      </c>
      <c r="F21" t="s">
        <v>861</v>
      </c>
      <c r="G21" s="14" t="str">
        <f t="shared" si="1"/>
        <v>Steel</v>
      </c>
      <c r="H21" s="14" t="s">
        <v>1125</v>
      </c>
    </row>
    <row r="22" spans="1:8" x14ac:dyDescent="0.25">
      <c r="A22" t="s">
        <v>889</v>
      </c>
      <c r="B22" t="s">
        <v>951</v>
      </c>
      <c r="C22" t="s">
        <v>1007</v>
      </c>
      <c r="D22" t="str">
        <f t="shared" si="0"/>
        <v>"CORE",</v>
      </c>
      <c r="F22" t="s">
        <v>1078</v>
      </c>
      <c r="G22" s="14" t="str">
        <f t="shared" si="1"/>
        <v>Stainless Steel</v>
      </c>
      <c r="H22" s="14" t="s">
        <v>1125</v>
      </c>
    </row>
    <row r="23" spans="1:8" x14ac:dyDescent="0.25">
      <c r="A23" t="s">
        <v>927</v>
      </c>
      <c r="B23" t="s">
        <v>1003</v>
      </c>
      <c r="C23" t="s">
        <v>1011</v>
      </c>
      <c r="D23" t="str">
        <f t="shared" si="0"/>
        <v>"CSTI",</v>
      </c>
      <c r="F23" t="s">
        <v>1098</v>
      </c>
      <c r="G23" s="14" t="str">
        <f t="shared" si="1"/>
        <v>Toys</v>
      </c>
      <c r="H23" s="14" t="s">
        <v>1128</v>
      </c>
    </row>
    <row r="24" spans="1:8" x14ac:dyDescent="0.25">
      <c r="A24" t="s">
        <v>928</v>
      </c>
      <c r="B24" t="s">
        <v>1004</v>
      </c>
      <c r="C24" t="s">
        <v>1035</v>
      </c>
      <c r="D24" t="str">
        <f t="shared" si="0"/>
        <v>"CTAR",</v>
      </c>
      <c r="F24" t="s">
        <v>1060</v>
      </c>
      <c r="G24" s="14" t="str">
        <f t="shared" si="1"/>
        <v>Tyres</v>
      </c>
      <c r="H24" s="14" t="s">
        <v>1129</v>
      </c>
    </row>
    <row r="25" spans="1:8" x14ac:dyDescent="0.25">
      <c r="A25" t="s">
        <v>1091</v>
      </c>
      <c r="B25" t="s">
        <v>1105</v>
      </c>
      <c r="C25" t="s">
        <v>1007</v>
      </c>
      <c r="D25" t="str">
        <f t="shared" si="0"/>
        <v>"CTCD",</v>
      </c>
      <c r="F25" t="s">
        <v>1080</v>
      </c>
      <c r="G25" s="14" t="str">
        <f t="shared" si="1"/>
        <v>Vehicle Bodies</v>
      </c>
      <c r="H25" s="14" t="s">
        <v>1130</v>
      </c>
    </row>
    <row r="26" spans="1:8" x14ac:dyDescent="0.25">
      <c r="A26" t="s">
        <v>1018</v>
      </c>
      <c r="B26" t="s">
        <v>1019</v>
      </c>
      <c r="C26" t="s">
        <v>1013</v>
      </c>
      <c r="D26" t="str">
        <f t="shared" si="0"/>
        <v>"DIAM",</v>
      </c>
      <c r="F26" t="s">
        <v>1081</v>
      </c>
      <c r="G26" s="14" t="str">
        <f t="shared" si="1"/>
        <v>Vehicle Engines</v>
      </c>
      <c r="H26" s="14" t="s">
        <v>1128</v>
      </c>
    </row>
    <row r="27" spans="1:8" x14ac:dyDescent="0.25">
      <c r="A27" t="s">
        <v>903</v>
      </c>
      <c r="B27" t="s">
        <v>965</v>
      </c>
      <c r="C27" t="s">
        <v>1036</v>
      </c>
      <c r="D27" t="str">
        <f t="shared" si="0"/>
        <v>"DYES",</v>
      </c>
      <c r="F27" t="s">
        <v>462</v>
      </c>
      <c r="G27" s="14" t="str">
        <f t="shared" si="1"/>
        <v>Wood</v>
      </c>
      <c r="H27" s="14" t="s">
        <v>1122</v>
      </c>
    </row>
    <row r="28" spans="1:8" x14ac:dyDescent="0.25">
      <c r="A28" t="s">
        <v>895</v>
      </c>
      <c r="B28" t="s">
        <v>960</v>
      </c>
      <c r="C28" t="s">
        <v>1026</v>
      </c>
      <c r="D28" t="str">
        <f t="shared" si="0"/>
        <v>"ENSP",</v>
      </c>
      <c r="F28" t="s">
        <v>938</v>
      </c>
      <c r="G28" s="14" t="str">
        <f t="shared" si="1"/>
        <v>Zinc</v>
      </c>
      <c r="H28" s="14" t="s">
        <v>1125</v>
      </c>
    </row>
    <row r="29" spans="1:8" x14ac:dyDescent="0.25">
      <c r="A29" t="s">
        <v>1065</v>
      </c>
      <c r="B29" t="s">
        <v>1066</v>
      </c>
      <c r="C29" t="s">
        <v>1036</v>
      </c>
      <c r="D29" t="str">
        <f t="shared" si="0"/>
        <v>"EOIL",</v>
      </c>
      <c r="F29" t="s">
        <v>895</v>
      </c>
      <c r="G29" s="14" t="str">
        <f t="shared" si="1"/>
        <v>Engineering Supplies</v>
      </c>
      <c r="H29" s="14" t="s">
        <v>1123</v>
      </c>
    </row>
    <row r="30" spans="1:8" x14ac:dyDescent="0.25">
      <c r="A30" t="s">
        <v>1037</v>
      </c>
      <c r="B30" t="s">
        <v>1038</v>
      </c>
      <c r="C30" t="s">
        <v>1007</v>
      </c>
      <c r="D30" t="str">
        <f t="shared" si="0"/>
        <v>"FECR",</v>
      </c>
      <c r="F30" t="s">
        <v>894</v>
      </c>
      <c r="G30" s="14" t="str">
        <f t="shared" si="1"/>
        <v>Farm Supplies</v>
      </c>
      <c r="H30" s="14" t="s">
        <v>1124</v>
      </c>
    </row>
    <row r="31" spans="1:8" x14ac:dyDescent="0.25">
      <c r="A31" t="s">
        <v>1039</v>
      </c>
      <c r="B31" t="s">
        <v>1040</v>
      </c>
      <c r="C31" t="s">
        <v>1041</v>
      </c>
      <c r="D31" t="str">
        <f t="shared" si="0"/>
        <v>"FERT",</v>
      </c>
      <c r="F31" t="s">
        <v>1083</v>
      </c>
      <c r="G31" s="14" t="str">
        <f t="shared" si="1"/>
        <v>Vehicle Parts</v>
      </c>
      <c r="H31" s="14" t="s">
        <v>1128</v>
      </c>
    </row>
    <row r="32" spans="1:8" x14ac:dyDescent="0.25">
      <c r="A32" t="s">
        <v>910</v>
      </c>
      <c r="B32" t="s">
        <v>999</v>
      </c>
      <c r="C32" t="s">
        <v>1041</v>
      </c>
      <c r="D32" t="str">
        <f t="shared" si="0"/>
        <v>"FICR",</v>
      </c>
      <c r="F32" t="s">
        <v>900</v>
      </c>
      <c r="G32" s="14" t="str">
        <f t="shared" si="1"/>
        <v>Timber</v>
      </c>
      <c r="H32" s="14" t="s">
        <v>1126</v>
      </c>
    </row>
    <row r="33" spans="1:8" x14ac:dyDescent="0.25">
      <c r="A33" t="s">
        <v>908</v>
      </c>
      <c r="B33" t="s">
        <v>970</v>
      </c>
      <c r="C33" t="s">
        <v>1014</v>
      </c>
      <c r="D33" t="str">
        <f t="shared" si="0"/>
        <v>"FISH",</v>
      </c>
      <c r="F33" t="s">
        <v>906</v>
      </c>
      <c r="G33" s="14" t="str">
        <f t="shared" si="1"/>
        <v>Plastics</v>
      </c>
      <c r="H33" s="14" t="s">
        <v>1128</v>
      </c>
    </row>
    <row r="34" spans="1:8" x14ac:dyDescent="0.25">
      <c r="A34" t="s">
        <v>894</v>
      </c>
      <c r="B34" t="s">
        <v>959</v>
      </c>
      <c r="C34" t="s">
        <v>1026</v>
      </c>
      <c r="D34" t="str">
        <f t="shared" ref="D34:D65" si="7">CONCATENATE("""", A34, """,")</f>
        <v>"FMSP",</v>
      </c>
      <c r="F34" t="s">
        <v>903</v>
      </c>
      <c r="G34" s="14" t="str">
        <f t="shared" si="1"/>
        <v>Dyes</v>
      </c>
      <c r="H34" s="14" t="s">
        <v>1128</v>
      </c>
    </row>
    <row r="35" spans="1:8" x14ac:dyDescent="0.25">
      <c r="A35" t="s">
        <v>893</v>
      </c>
      <c r="B35" t="s">
        <v>957</v>
      </c>
      <c r="C35" t="s">
        <v>1014</v>
      </c>
      <c r="D35" t="str">
        <f t="shared" si="7"/>
        <v>"FOOD",</v>
      </c>
      <c r="F35" t="s">
        <v>901</v>
      </c>
      <c r="G35" s="14" t="str">
        <f t="shared" si="1"/>
        <v>Vehicles</v>
      </c>
      <c r="H35" s="14" t="s">
        <v>1127</v>
      </c>
    </row>
    <row r="36" spans="1:8" x14ac:dyDescent="0.25">
      <c r="A36" t="s">
        <v>912</v>
      </c>
      <c r="B36" t="s">
        <v>976</v>
      </c>
      <c r="C36" t="s">
        <v>1017</v>
      </c>
      <c r="D36" t="str">
        <f t="shared" si="7"/>
        <v>"FRUT",</v>
      </c>
      <c r="F36" t="s">
        <v>910</v>
      </c>
      <c r="G36" s="14" t="str">
        <f t="shared" si="1"/>
        <v>Fibre Crops</v>
      </c>
      <c r="H36" s="14" t="s">
        <v>1128</v>
      </c>
    </row>
    <row r="37" spans="1:8" x14ac:dyDescent="0.25">
      <c r="A37" t="s">
        <v>911</v>
      </c>
      <c r="B37" t="s">
        <v>1000</v>
      </c>
      <c r="C37" t="s">
        <v>1102</v>
      </c>
      <c r="D37" t="str">
        <f t="shared" si="7"/>
        <v>"FRVG",</v>
      </c>
      <c r="F37" t="s">
        <v>898</v>
      </c>
      <c r="G37" s="14" t="str">
        <f t="shared" si="1"/>
        <v>Packaging</v>
      </c>
      <c r="H37" s="14" t="s">
        <v>1128</v>
      </c>
    </row>
    <row r="38" spans="1:8" x14ac:dyDescent="0.25">
      <c r="A38" t="s">
        <v>1092</v>
      </c>
      <c r="B38" t="s">
        <v>1093</v>
      </c>
      <c r="C38" t="s">
        <v>1011</v>
      </c>
      <c r="D38" t="str">
        <f t="shared" si="7"/>
        <v>"FZDR",</v>
      </c>
      <c r="F38" t="s">
        <v>1156</v>
      </c>
      <c r="G38" s="14" t="str">
        <f t="shared" si="1"/>
        <v>Steel Sheet</v>
      </c>
      <c r="H38" s="14"/>
    </row>
    <row r="39" spans="1:8" x14ac:dyDescent="0.25">
      <c r="A39" t="s">
        <v>1015</v>
      </c>
      <c r="B39" t="s">
        <v>1016</v>
      </c>
      <c r="C39" t="s">
        <v>1013</v>
      </c>
      <c r="D39" t="str">
        <f t="shared" si="7"/>
        <v>"GOLD",</v>
      </c>
      <c r="F39" t="s">
        <v>1158</v>
      </c>
      <c r="G39" s="14" t="str">
        <f t="shared" si="1"/>
        <v>Steel Wire Rod</v>
      </c>
      <c r="H39" s="14"/>
    </row>
    <row r="40" spans="1:8" x14ac:dyDescent="0.25">
      <c r="A40" t="s">
        <v>328</v>
      </c>
      <c r="B40" t="s">
        <v>956</v>
      </c>
      <c r="C40" t="s">
        <v>1012</v>
      </c>
      <c r="D40" t="str">
        <f t="shared" si="7"/>
        <v>"GOOD",</v>
      </c>
      <c r="F40" t="s">
        <v>1155</v>
      </c>
      <c r="G40" s="14" t="str">
        <f t="shared" si="1"/>
        <v>Rebar</v>
      </c>
      <c r="H40" s="14"/>
    </row>
    <row r="41" spans="1:8" x14ac:dyDescent="0.25">
      <c r="A41" t="s">
        <v>913</v>
      </c>
      <c r="B41" t="s">
        <v>975</v>
      </c>
      <c r="C41" t="s">
        <v>1007</v>
      </c>
      <c r="D41" t="str">
        <f t="shared" si="7"/>
        <v>"GRAI",</v>
      </c>
      <c r="F41" s="14" t="s">
        <v>1146</v>
      </c>
      <c r="G41" s="14" t="str">
        <f t="shared" si="1"/>
        <v>Cleaning Agents</v>
      </c>
      <c r="H41" s="14" t="s">
        <v>1128</v>
      </c>
    </row>
    <row r="42" spans="1:8" x14ac:dyDescent="0.25">
      <c r="A42" t="s">
        <v>886</v>
      </c>
      <c r="B42" t="s">
        <v>948</v>
      </c>
      <c r="C42" t="s">
        <v>1007</v>
      </c>
      <c r="D42" t="str">
        <f t="shared" si="7"/>
        <v>"GRVL",</v>
      </c>
      <c r="F42" s="14" t="s">
        <v>1153</v>
      </c>
      <c r="G42" s="14" t="str">
        <f t="shared" si="1"/>
        <v>Paints and coatings</v>
      </c>
      <c r="H42" s="14" t="s">
        <v>1128</v>
      </c>
    </row>
    <row r="43" spans="1:8" x14ac:dyDescent="0.25">
      <c r="A43" t="s">
        <v>885</v>
      </c>
      <c r="B43" t="s">
        <v>947</v>
      </c>
      <c r="C43" t="s">
        <v>1007</v>
      </c>
      <c r="D43" t="str">
        <f t="shared" si="7"/>
        <v>"IORE",</v>
      </c>
    </row>
    <row r="44" spans="1:8" x14ac:dyDescent="0.25">
      <c r="A44" t="s">
        <v>933</v>
      </c>
      <c r="B44" t="s">
        <v>989</v>
      </c>
      <c r="C44" t="s">
        <v>1011</v>
      </c>
      <c r="D44" t="str">
        <f t="shared" si="7"/>
        <v>"IRON",</v>
      </c>
    </row>
    <row r="45" spans="1:8" x14ac:dyDescent="0.25">
      <c r="A45" t="s">
        <v>925</v>
      </c>
      <c r="B45" t="s">
        <v>984</v>
      </c>
      <c r="C45" t="s">
        <v>1011</v>
      </c>
      <c r="D45" t="str">
        <f t="shared" si="7"/>
        <v>"JAVA",</v>
      </c>
    </row>
    <row r="46" spans="1:8" x14ac:dyDescent="0.25">
      <c r="A46" t="s">
        <v>1043</v>
      </c>
      <c r="B46" t="s">
        <v>1103</v>
      </c>
      <c r="C46" t="s">
        <v>1044</v>
      </c>
      <c r="D46" t="str">
        <f t="shared" si="7"/>
        <v>"KAOL",</v>
      </c>
    </row>
    <row r="47" spans="1:8" x14ac:dyDescent="0.25">
      <c r="A47" t="s">
        <v>892</v>
      </c>
      <c r="B47" t="s">
        <v>955</v>
      </c>
      <c r="C47" t="s">
        <v>1007</v>
      </c>
      <c r="D47" t="str">
        <f t="shared" si="7"/>
        <v>"LIME",</v>
      </c>
    </row>
    <row r="48" spans="1:8" x14ac:dyDescent="0.25">
      <c r="A48" t="s">
        <v>821</v>
      </c>
      <c r="B48" t="s">
        <v>974</v>
      </c>
      <c r="C48" t="s">
        <v>1011</v>
      </c>
      <c r="D48" t="str">
        <f t="shared" si="7"/>
        <v>"LVST",</v>
      </c>
    </row>
    <row r="49" spans="1:4" x14ac:dyDescent="0.25">
      <c r="A49" t="s">
        <v>710</v>
      </c>
      <c r="B49" t="s">
        <v>945</v>
      </c>
      <c r="C49" t="s">
        <v>1008</v>
      </c>
      <c r="D49" t="str">
        <f t="shared" si="7"/>
        <v>"MAIL",</v>
      </c>
    </row>
    <row r="50" spans="1:4" x14ac:dyDescent="0.25">
      <c r="A50" t="s">
        <v>914</v>
      </c>
      <c r="B50" t="s">
        <v>973</v>
      </c>
      <c r="C50" t="s">
        <v>1007</v>
      </c>
      <c r="D50" t="str">
        <f t="shared" si="7"/>
        <v>"MAIZ",</v>
      </c>
    </row>
    <row r="51" spans="1:4" x14ac:dyDescent="0.25">
      <c r="A51" t="s">
        <v>923</v>
      </c>
      <c r="B51" t="s">
        <v>982</v>
      </c>
      <c r="C51" t="s">
        <v>1011</v>
      </c>
      <c r="D51" t="str">
        <f t="shared" si="7"/>
        <v>"METL",</v>
      </c>
    </row>
    <row r="52" spans="1:4" x14ac:dyDescent="0.25">
      <c r="A52" t="s">
        <v>915</v>
      </c>
      <c r="B52" t="s">
        <v>971</v>
      </c>
      <c r="C52" t="s">
        <v>1045</v>
      </c>
      <c r="D52" t="str">
        <f t="shared" si="7"/>
        <v>"MILK",</v>
      </c>
    </row>
    <row r="53" spans="1:4" x14ac:dyDescent="0.25">
      <c r="A53" t="s">
        <v>942</v>
      </c>
      <c r="B53" t="s">
        <v>994</v>
      </c>
      <c r="C53" t="s">
        <v>1007</v>
      </c>
      <c r="D53" t="str">
        <f t="shared" si="7"/>
        <v>"MNO2",</v>
      </c>
    </row>
    <row r="54" spans="1:4" x14ac:dyDescent="0.25">
      <c r="A54" t="s">
        <v>898</v>
      </c>
      <c r="B54" t="s">
        <v>1143</v>
      </c>
      <c r="C54" t="s">
        <v>1067</v>
      </c>
      <c r="D54" t="str">
        <f t="shared" si="7"/>
        <v>"MNSP",</v>
      </c>
    </row>
    <row r="55" spans="1:4" x14ac:dyDescent="0.25">
      <c r="A55" t="s">
        <v>1046</v>
      </c>
      <c r="B55" t="s">
        <v>1047</v>
      </c>
      <c r="C55" t="s">
        <v>1007</v>
      </c>
      <c r="D55" t="str">
        <f t="shared" si="7"/>
        <v>"NITR",</v>
      </c>
    </row>
    <row r="56" spans="1:4" x14ac:dyDescent="0.25">
      <c r="A56" t="s">
        <v>1068</v>
      </c>
      <c r="B56" t="s">
        <v>1069</v>
      </c>
      <c r="C56" t="s">
        <v>1011</v>
      </c>
      <c r="D56" t="str">
        <f t="shared" si="7"/>
        <v>"NUTS",</v>
      </c>
    </row>
    <row r="57" spans="1:4" x14ac:dyDescent="0.25">
      <c r="A57" t="s">
        <v>326</v>
      </c>
      <c r="B57" t="s">
        <v>966</v>
      </c>
      <c r="C57" t="s">
        <v>1009</v>
      </c>
      <c r="D57" t="str">
        <f t="shared" si="7"/>
        <v>"OIL_",</v>
      </c>
    </row>
    <row r="58" spans="1:4" x14ac:dyDescent="0.25">
      <c r="A58" t="s">
        <v>921</v>
      </c>
      <c r="B58" t="s">
        <v>1001</v>
      </c>
      <c r="C58" t="s">
        <v>1032</v>
      </c>
      <c r="D58" t="str">
        <f t="shared" si="7"/>
        <v>"OLSD",</v>
      </c>
    </row>
    <row r="59" spans="1:4" x14ac:dyDescent="0.25">
      <c r="A59" t="s">
        <v>899</v>
      </c>
      <c r="B59" t="s">
        <v>963</v>
      </c>
      <c r="C59" t="s">
        <v>1011</v>
      </c>
      <c r="D59" t="str">
        <f t="shared" si="7"/>
        <v>"PAPR",</v>
      </c>
    </row>
    <row r="60" spans="1:4" x14ac:dyDescent="0.25">
      <c r="A60" t="s">
        <v>325</v>
      </c>
      <c r="B60" t="s">
        <v>943</v>
      </c>
      <c r="C60" t="s">
        <v>1006</v>
      </c>
      <c r="D60" t="str">
        <f t="shared" si="7"/>
        <v>"PASS",</v>
      </c>
    </row>
    <row r="61" spans="1:4" x14ac:dyDescent="0.25">
      <c r="A61" t="s">
        <v>1048</v>
      </c>
      <c r="B61" t="s">
        <v>1049</v>
      </c>
      <c r="C61" t="s">
        <v>1007</v>
      </c>
      <c r="D61" t="str">
        <f t="shared" si="7"/>
        <v>"PEAT",</v>
      </c>
    </row>
    <row r="62" spans="1:4" x14ac:dyDescent="0.25">
      <c r="A62" t="s">
        <v>905</v>
      </c>
      <c r="B62" t="s">
        <v>967</v>
      </c>
      <c r="C62" t="s">
        <v>1009</v>
      </c>
      <c r="D62" t="str">
        <f t="shared" si="7"/>
        <v>"PETR",</v>
      </c>
    </row>
    <row r="63" spans="1:4" x14ac:dyDescent="0.25">
      <c r="A63" t="s">
        <v>1050</v>
      </c>
      <c r="B63" t="s">
        <v>1051</v>
      </c>
      <c r="C63" t="s">
        <v>1007</v>
      </c>
      <c r="D63" t="str">
        <f t="shared" si="7"/>
        <v>"PHOS",</v>
      </c>
    </row>
    <row r="64" spans="1:4" x14ac:dyDescent="0.25">
      <c r="A64" t="s">
        <v>1070</v>
      </c>
      <c r="B64" t="s">
        <v>1071</v>
      </c>
      <c r="C64" t="s">
        <v>1011</v>
      </c>
      <c r="D64" t="str">
        <f t="shared" si="7"/>
        <v>"PIPE",</v>
      </c>
    </row>
    <row r="65" spans="1:4" x14ac:dyDescent="0.25">
      <c r="A65" t="s">
        <v>906</v>
      </c>
      <c r="B65" t="s">
        <v>968</v>
      </c>
      <c r="C65" t="s">
        <v>1053</v>
      </c>
      <c r="D65" t="str">
        <f t="shared" si="7"/>
        <v>"PLAS",</v>
      </c>
    </row>
    <row r="66" spans="1:4" x14ac:dyDescent="0.25">
      <c r="A66" t="s">
        <v>1094</v>
      </c>
      <c r="B66" t="s">
        <v>1052</v>
      </c>
      <c r="C66" t="s">
        <v>1009</v>
      </c>
      <c r="D66" t="str">
        <f t="shared" ref="D66:D97" si="8">CONCATENATE("""", A66, """,")</f>
        <v>"PLST",</v>
      </c>
    </row>
    <row r="67" spans="1:4" x14ac:dyDescent="0.25">
      <c r="A67" t="s">
        <v>1054</v>
      </c>
      <c r="B67" t="s">
        <v>1055</v>
      </c>
      <c r="C67" t="s">
        <v>1007</v>
      </c>
      <c r="D67" t="str">
        <f t="shared" si="8"/>
        <v>"PORE",</v>
      </c>
    </row>
    <row r="68" spans="1:4" x14ac:dyDescent="0.25">
      <c r="A68" t="s">
        <v>1056</v>
      </c>
      <c r="B68" t="s">
        <v>1057</v>
      </c>
      <c r="C68" t="s">
        <v>1032</v>
      </c>
      <c r="D68" t="str">
        <f t="shared" si="8"/>
        <v>"POTA",</v>
      </c>
    </row>
    <row r="69" spans="1:4" x14ac:dyDescent="0.25">
      <c r="A69" t="s">
        <v>1072</v>
      </c>
      <c r="B69" t="s">
        <v>1150</v>
      </c>
      <c r="C69" t="s">
        <v>1011</v>
      </c>
      <c r="D69" t="str">
        <f t="shared" si="8"/>
        <v>"POWR",</v>
      </c>
    </row>
    <row r="70" spans="1:4" x14ac:dyDescent="0.25">
      <c r="A70" t="s">
        <v>934</v>
      </c>
      <c r="B70" t="s">
        <v>995</v>
      </c>
      <c r="C70" t="s">
        <v>1032</v>
      </c>
      <c r="D70" t="str">
        <f t="shared" si="8"/>
        <v>"QLME",</v>
      </c>
    </row>
    <row r="71" spans="1:4" x14ac:dyDescent="0.25">
      <c r="A71" t="s">
        <v>940</v>
      </c>
      <c r="B71" t="s">
        <v>997</v>
      </c>
      <c r="C71" t="s">
        <v>1073</v>
      </c>
      <c r="D71" t="str">
        <f t="shared" si="8"/>
        <v>"RCYC",</v>
      </c>
    </row>
    <row r="72" spans="1:4" x14ac:dyDescent="0.25">
      <c r="A72" t="s">
        <v>904</v>
      </c>
      <c r="B72" t="s">
        <v>1149</v>
      </c>
      <c r="C72" t="s">
        <v>1009</v>
      </c>
      <c r="D72" t="str">
        <f t="shared" si="8"/>
        <v>"RFPR",</v>
      </c>
    </row>
    <row r="73" spans="1:4" x14ac:dyDescent="0.25">
      <c r="A73" t="s">
        <v>916</v>
      </c>
      <c r="B73" t="s">
        <v>977</v>
      </c>
      <c r="C73" t="s">
        <v>1009</v>
      </c>
      <c r="D73" t="str">
        <f t="shared" si="8"/>
        <v>"RUBR",</v>
      </c>
    </row>
    <row r="74" spans="1:4" x14ac:dyDescent="0.25">
      <c r="A74" t="s">
        <v>935</v>
      </c>
      <c r="B74" t="s">
        <v>990</v>
      </c>
      <c r="C74" t="s">
        <v>1007</v>
      </c>
      <c r="D74" t="str">
        <f t="shared" si="8"/>
        <v>"SALT",</v>
      </c>
    </row>
    <row r="75" spans="1:4" x14ac:dyDescent="0.25">
      <c r="A75" t="s">
        <v>887</v>
      </c>
      <c r="B75" t="s">
        <v>949</v>
      </c>
      <c r="C75" t="s">
        <v>1007</v>
      </c>
      <c r="D75" t="str">
        <f t="shared" si="8"/>
        <v>"SAND",</v>
      </c>
    </row>
    <row r="76" spans="1:4" x14ac:dyDescent="0.25">
      <c r="A76" t="s">
        <v>936</v>
      </c>
      <c r="B76" t="s">
        <v>1005</v>
      </c>
      <c r="C76" t="s">
        <v>1032</v>
      </c>
      <c r="D76" t="str">
        <f t="shared" si="8"/>
        <v>"SASH",</v>
      </c>
    </row>
    <row r="77" spans="1:4" x14ac:dyDescent="0.25">
      <c r="A77" t="s">
        <v>891</v>
      </c>
      <c r="B77" t="s">
        <v>953</v>
      </c>
      <c r="C77" t="s">
        <v>1058</v>
      </c>
      <c r="D77" t="str">
        <f t="shared" si="8"/>
        <v>"SCMT",</v>
      </c>
    </row>
    <row r="78" spans="1:4" x14ac:dyDescent="0.25">
      <c r="A78" t="s">
        <v>917</v>
      </c>
      <c r="B78" t="s">
        <v>978</v>
      </c>
      <c r="C78" t="s">
        <v>1007</v>
      </c>
      <c r="D78" t="str">
        <f t="shared" si="8"/>
        <v>"SGBT",</v>
      </c>
    </row>
    <row r="79" spans="1:4" x14ac:dyDescent="0.25">
      <c r="A79" t="s">
        <v>918</v>
      </c>
      <c r="B79" t="s">
        <v>979</v>
      </c>
      <c r="C79" t="s">
        <v>1058</v>
      </c>
      <c r="D79" t="str">
        <f t="shared" si="8"/>
        <v>"SGCN",</v>
      </c>
    </row>
    <row r="80" spans="1:4" x14ac:dyDescent="0.25">
      <c r="A80" t="s">
        <v>939</v>
      </c>
      <c r="B80" t="s">
        <v>992</v>
      </c>
      <c r="C80" t="s">
        <v>1007</v>
      </c>
      <c r="D80" t="str">
        <f t="shared" si="8"/>
        <v>"SLAG",</v>
      </c>
    </row>
    <row r="81" spans="1:4" x14ac:dyDescent="0.25">
      <c r="A81" t="s">
        <v>1074</v>
      </c>
      <c r="B81" t="s">
        <v>1075</v>
      </c>
      <c r="C81" t="s">
        <v>1011</v>
      </c>
      <c r="D81" t="str">
        <f t="shared" si="8"/>
        <v>"STAL",</v>
      </c>
    </row>
    <row r="82" spans="1:4" x14ac:dyDescent="0.25">
      <c r="A82" t="s">
        <v>1076</v>
      </c>
      <c r="B82" t="s">
        <v>1077</v>
      </c>
      <c r="C82" t="s">
        <v>1011</v>
      </c>
      <c r="D82" t="str">
        <f t="shared" si="8"/>
        <v>"STCB",</v>
      </c>
    </row>
    <row r="83" spans="1:4" x14ac:dyDescent="0.25">
      <c r="A83" t="s">
        <v>861</v>
      </c>
      <c r="B83" t="s">
        <v>958</v>
      </c>
      <c r="C83" t="s">
        <v>1011</v>
      </c>
      <c r="D83" t="str">
        <f t="shared" si="8"/>
        <v>"STEL",</v>
      </c>
    </row>
    <row r="84" spans="1:4" x14ac:dyDescent="0.25">
      <c r="A84" t="s">
        <v>1078</v>
      </c>
      <c r="B84" t="s">
        <v>1079</v>
      </c>
      <c r="C84" t="s">
        <v>1011</v>
      </c>
      <c r="D84" t="str">
        <f t="shared" si="8"/>
        <v>"STST",</v>
      </c>
    </row>
    <row r="85" spans="1:4" x14ac:dyDescent="0.25">
      <c r="A85" t="s">
        <v>922</v>
      </c>
      <c r="B85" t="s">
        <v>981</v>
      </c>
      <c r="C85" t="s">
        <v>1007</v>
      </c>
      <c r="D85" t="str">
        <f t="shared" si="8"/>
        <v>"SUGR",</v>
      </c>
    </row>
    <row r="86" spans="1:4" x14ac:dyDescent="0.25">
      <c r="A86" t="s">
        <v>937</v>
      </c>
      <c r="B86" t="s">
        <v>996</v>
      </c>
      <c r="C86" t="s">
        <v>1032</v>
      </c>
      <c r="D86" t="str">
        <f t="shared" si="8"/>
        <v>"SULP",</v>
      </c>
    </row>
    <row r="87" spans="1:4" x14ac:dyDescent="0.25">
      <c r="A87" t="s">
        <v>1095</v>
      </c>
      <c r="B87" t="s">
        <v>1106</v>
      </c>
      <c r="C87" t="s">
        <v>1012</v>
      </c>
      <c r="D87" t="str">
        <f t="shared" si="8"/>
        <v>"SWET",</v>
      </c>
    </row>
    <row r="88" spans="1:4" x14ac:dyDescent="0.25">
      <c r="A88" t="s">
        <v>1096</v>
      </c>
      <c r="B88" t="s">
        <v>1097</v>
      </c>
      <c r="C88" t="s">
        <v>1007</v>
      </c>
      <c r="D88" t="str">
        <f t="shared" si="8"/>
        <v>"TOFF",</v>
      </c>
    </row>
    <row r="89" spans="1:4" x14ac:dyDescent="0.25">
      <c r="A89" t="s">
        <v>884</v>
      </c>
      <c r="B89" t="s">
        <v>944</v>
      </c>
      <c r="C89" t="s">
        <v>1059</v>
      </c>
      <c r="D89" t="str">
        <f t="shared" si="8"/>
        <v>"TOUR",</v>
      </c>
    </row>
    <row r="90" spans="1:4" x14ac:dyDescent="0.25">
      <c r="A90" t="s">
        <v>1098</v>
      </c>
      <c r="B90" t="s">
        <v>1099</v>
      </c>
      <c r="C90" t="s">
        <v>1011</v>
      </c>
      <c r="D90" t="str">
        <f t="shared" si="8"/>
        <v>"TOYS",</v>
      </c>
    </row>
    <row r="91" spans="1:4" x14ac:dyDescent="0.25">
      <c r="A91" t="s">
        <v>1060</v>
      </c>
      <c r="B91" t="s">
        <v>1061</v>
      </c>
      <c r="C91" t="s">
        <v>1011</v>
      </c>
      <c r="D91" t="str">
        <f t="shared" si="8"/>
        <v>"TYRE",</v>
      </c>
    </row>
    <row r="92" spans="1:4" x14ac:dyDescent="0.25">
      <c r="A92" t="s">
        <v>1062</v>
      </c>
      <c r="B92" t="s">
        <v>1063</v>
      </c>
      <c r="C92" t="s">
        <v>1064</v>
      </c>
      <c r="D92" t="str">
        <f t="shared" si="8"/>
        <v>"URAN",</v>
      </c>
    </row>
    <row r="93" spans="1:4" x14ac:dyDescent="0.25">
      <c r="A93" t="s">
        <v>924</v>
      </c>
      <c r="B93" t="s">
        <v>983</v>
      </c>
      <c r="C93" t="s">
        <v>1013</v>
      </c>
      <c r="D93" t="str">
        <f t="shared" si="8"/>
        <v>"VALU",</v>
      </c>
    </row>
    <row r="94" spans="1:4" x14ac:dyDescent="0.25">
      <c r="A94" t="s">
        <v>1080</v>
      </c>
      <c r="B94" t="s">
        <v>1104</v>
      </c>
      <c r="C94" t="s">
        <v>1011</v>
      </c>
      <c r="D94" t="str">
        <f t="shared" si="8"/>
        <v>"VBOD",</v>
      </c>
    </row>
    <row r="95" spans="1:4" x14ac:dyDescent="0.25">
      <c r="A95" t="s">
        <v>901</v>
      </c>
      <c r="B95" t="s">
        <v>964</v>
      </c>
      <c r="C95" t="s">
        <v>1042</v>
      </c>
      <c r="D95" t="str">
        <f t="shared" si="8"/>
        <v>"VEHI",</v>
      </c>
    </row>
    <row r="96" spans="1:4" x14ac:dyDescent="0.25">
      <c r="A96" t="s">
        <v>1081</v>
      </c>
      <c r="B96" t="s">
        <v>1082</v>
      </c>
      <c r="C96" t="s">
        <v>1011</v>
      </c>
      <c r="D96" t="str">
        <f t="shared" si="8"/>
        <v>"VENG",</v>
      </c>
    </row>
    <row r="97" spans="1:4" x14ac:dyDescent="0.25">
      <c r="A97" t="s">
        <v>1083</v>
      </c>
      <c r="B97" t="s">
        <v>1084</v>
      </c>
      <c r="C97" t="s">
        <v>1067</v>
      </c>
      <c r="D97" t="str">
        <f t="shared" si="8"/>
        <v>"VPTS",</v>
      </c>
    </row>
    <row r="98" spans="1:4" x14ac:dyDescent="0.25">
      <c r="A98" t="s">
        <v>907</v>
      </c>
      <c r="B98" t="s">
        <v>969</v>
      </c>
      <c r="C98" t="s">
        <v>1009</v>
      </c>
      <c r="D98" t="str">
        <f t="shared" ref="D98:D112" si="9">CONCATENATE("""", A98, """,")</f>
        <v>"WATR",</v>
      </c>
    </row>
    <row r="99" spans="1:4" x14ac:dyDescent="0.25">
      <c r="A99" t="s">
        <v>900</v>
      </c>
      <c r="B99" t="s">
        <v>1118</v>
      </c>
      <c r="C99" t="s">
        <v>1041</v>
      </c>
      <c r="D99" t="str">
        <f t="shared" si="9"/>
        <v>"WDPR",</v>
      </c>
    </row>
    <row r="100" spans="1:4" x14ac:dyDescent="0.25">
      <c r="A100" t="s">
        <v>919</v>
      </c>
      <c r="B100" t="s">
        <v>980</v>
      </c>
      <c r="C100" t="s">
        <v>1007</v>
      </c>
      <c r="D100" t="str">
        <f t="shared" si="9"/>
        <v>"WHEA",</v>
      </c>
    </row>
    <row r="101" spans="1:4" x14ac:dyDescent="0.25">
      <c r="A101" t="s">
        <v>462</v>
      </c>
      <c r="B101" t="s">
        <v>954</v>
      </c>
      <c r="C101" t="s">
        <v>1011</v>
      </c>
      <c r="D101" t="str">
        <f t="shared" si="9"/>
        <v>"WOOD",</v>
      </c>
    </row>
    <row r="102" spans="1:4" x14ac:dyDescent="0.25">
      <c r="A102" t="s">
        <v>920</v>
      </c>
      <c r="B102" t="s">
        <v>972</v>
      </c>
      <c r="C102" t="s">
        <v>1023</v>
      </c>
      <c r="D102" t="str">
        <f t="shared" si="9"/>
        <v>"WOOL",</v>
      </c>
    </row>
    <row r="103" spans="1:4" x14ac:dyDescent="0.25">
      <c r="A103" t="s">
        <v>1010</v>
      </c>
      <c r="B103" t="s">
        <v>1107</v>
      </c>
      <c r="C103" t="s">
        <v>1100</v>
      </c>
      <c r="D103" t="str">
        <f t="shared" si="9"/>
        <v>"YETI",</v>
      </c>
    </row>
    <row r="104" spans="1:4" x14ac:dyDescent="0.25">
      <c r="A104" t="s">
        <v>1101</v>
      </c>
      <c r="B104" t="s">
        <v>1108</v>
      </c>
      <c r="C104" t="s">
        <v>1100</v>
      </c>
      <c r="D104" t="str">
        <f t="shared" si="9"/>
        <v>"YETY",</v>
      </c>
    </row>
    <row r="105" spans="1:4" x14ac:dyDescent="0.25">
      <c r="A105" t="s">
        <v>938</v>
      </c>
      <c r="B105" t="s">
        <v>991</v>
      </c>
      <c r="C105" t="s">
        <v>1011</v>
      </c>
      <c r="D105" t="str">
        <f t="shared" si="9"/>
        <v>"ZINC",</v>
      </c>
    </row>
    <row r="106" spans="1:4" x14ac:dyDescent="0.25">
      <c r="A106" t="s">
        <v>1146</v>
      </c>
      <c r="B106" t="s">
        <v>1145</v>
      </c>
      <c r="C106" t="s">
        <v>1053</v>
      </c>
      <c r="D106" t="str">
        <f t="shared" si="9"/>
        <v>"SOAP",</v>
      </c>
    </row>
    <row r="107" spans="1:4" x14ac:dyDescent="0.25">
      <c r="A107" t="s">
        <v>1147</v>
      </c>
      <c r="B107" t="s">
        <v>1148</v>
      </c>
      <c r="C107" t="s">
        <v>1035</v>
      </c>
      <c r="D107" t="str">
        <f t="shared" si="9"/>
        <v>"NH3_",</v>
      </c>
    </row>
    <row r="108" spans="1:4" x14ac:dyDescent="0.25">
      <c r="A108" t="s">
        <v>1151</v>
      </c>
      <c r="B108" t="s">
        <v>1152</v>
      </c>
      <c r="C108" t="s">
        <v>1035</v>
      </c>
      <c r="D108" t="str">
        <f t="shared" si="9"/>
        <v>"O2__",</v>
      </c>
    </row>
    <row r="109" spans="1:4" x14ac:dyDescent="0.25">
      <c r="A109" t="s">
        <v>1153</v>
      </c>
      <c r="B109" t="s">
        <v>1154</v>
      </c>
      <c r="C109" t="s">
        <v>1053</v>
      </c>
      <c r="D109" t="str">
        <f t="shared" si="9"/>
        <v>"COAT",</v>
      </c>
    </row>
    <row r="110" spans="1:4" x14ac:dyDescent="0.25">
      <c r="A110" t="s">
        <v>1155</v>
      </c>
      <c r="B110" t="s">
        <v>1144</v>
      </c>
      <c r="C110" t="s">
        <v>1011</v>
      </c>
      <c r="D110" t="str">
        <f t="shared" si="9"/>
        <v>"RBAR",</v>
      </c>
    </row>
    <row r="111" spans="1:4" x14ac:dyDescent="0.25">
      <c r="A111" t="s">
        <v>1156</v>
      </c>
      <c r="B111" t="s">
        <v>1157</v>
      </c>
      <c r="C111" t="s">
        <v>1011</v>
      </c>
      <c r="D111" t="str">
        <f t="shared" si="9"/>
        <v>"STSH",</v>
      </c>
    </row>
    <row r="112" spans="1:4" x14ac:dyDescent="0.25">
      <c r="A112" t="s">
        <v>1158</v>
      </c>
      <c r="B112" t="s">
        <v>1159</v>
      </c>
      <c r="C112" t="s">
        <v>1011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2020-07-19T20:22:51Z</dcterms:modified>
</cp:coreProperties>
</file>