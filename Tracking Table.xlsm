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3A045077-E3C9-41EC-9447-822CDEDDE05C}" xr6:coauthVersionLast="45" xr6:coauthVersionMax="45" xr10:uidLastSave="{00000000-0000-0000-0000-000000000000}"/>
  <bookViews>
    <workbookView xWindow="75" yWindow="615" windowWidth="26895" windowHeight="13950"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s>
  <definedNames>
    <definedName name="_xlnm._FilterDatabase" localSheetId="0" hidden="1">Table!$A$1:$AX$223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1" i="6" l="1"/>
  <c r="G22" i="6"/>
  <c r="B25" i="6"/>
  <c r="B24" i="6"/>
  <c r="I21" i="6"/>
  <c r="I22" i="6" s="1"/>
  <c r="H21" i="6"/>
  <c r="H22" i="6" s="1"/>
  <c r="F21" i="6"/>
  <c r="F22" i="6" s="1"/>
  <c r="E21" i="6"/>
  <c r="E22" i="6" s="1"/>
  <c r="D21" i="6"/>
  <c r="D22" i="6" s="1"/>
  <c r="C21" i="6"/>
  <c r="C22" i="6" s="1"/>
  <c r="B21" i="6"/>
  <c r="B22" i="6" s="1"/>
  <c r="S192" i="1"/>
  <c r="AU191" i="1"/>
  <c r="AW191" i="1" s="1"/>
  <c r="AF191" i="1"/>
  <c r="AH191" i="1" s="1"/>
  <c r="AE191" i="1"/>
  <c r="W191" i="1"/>
  <c r="B26" i="6" l="1"/>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F190" i="1"/>
  <c r="AW222" i="1"/>
  <c r="AU220" i="1"/>
  <c r="AW220" i="1" s="1"/>
  <c r="AU221" i="1"/>
  <c r="AW221" i="1" s="1"/>
  <c r="AU222" i="1"/>
  <c r="AU223" i="1"/>
  <c r="AW223" i="1" s="1"/>
  <c r="AU224" i="1"/>
  <c r="AW224" i="1" s="1"/>
  <c r="AU225" i="1"/>
  <c r="AW225" i="1" s="1"/>
  <c r="AD225" i="1"/>
  <c r="AH224" i="1"/>
  <c r="AH225" i="1"/>
  <c r="AF220" i="1"/>
  <c r="AE220" i="1" s="1"/>
  <c r="AF221" i="1"/>
  <c r="AE221" i="1" s="1"/>
  <c r="AF222" i="1"/>
  <c r="AE222" i="1" s="1"/>
  <c r="AF223" i="1"/>
  <c r="AF224" i="1"/>
  <c r="AF225" i="1"/>
  <c r="AE225" i="1" s="1"/>
  <c r="AE223" i="1"/>
  <c r="AE224" i="1"/>
  <c r="W225" i="1"/>
  <c r="B15" i="6" l="1"/>
  <c r="J178" i="1"/>
  <c r="J189" i="1"/>
  <c r="AU193" i="1"/>
  <c r="AW193" i="1" s="1"/>
  <c r="AF193" i="1"/>
  <c r="AH193" i="1" s="1"/>
  <c r="W193" i="1"/>
  <c r="AE193" i="1" l="1"/>
  <c r="S153" i="1"/>
  <c r="J165" i="1"/>
  <c r="AU111" i="1"/>
  <c r="AW111" i="1" s="1"/>
  <c r="AF111" i="1"/>
  <c r="AH111" i="1" s="1"/>
  <c r="W111" i="1"/>
  <c r="AU163" i="1"/>
  <c r="J163" i="1"/>
  <c r="S163" i="1"/>
  <c r="AE111" i="1" l="1"/>
  <c r="J160" i="1"/>
  <c r="S160" i="1"/>
  <c r="J152" i="1" l="1"/>
  <c r="S152" i="1"/>
  <c r="Z134" i="1" l="1"/>
  <c r="S108" i="1" l="1"/>
  <c r="S103" i="1"/>
  <c r="AU162" i="1"/>
  <c r="AW162" i="1" s="1"/>
  <c r="AF162" i="1"/>
  <c r="AE162" i="1" s="1"/>
  <c r="W162" i="1"/>
  <c r="AH162" i="1" l="1"/>
  <c r="J185" i="1"/>
  <c r="AU188" i="1"/>
  <c r="AW188" i="1" s="1"/>
  <c r="AF188" i="1"/>
  <c r="AE188" i="1" s="1"/>
  <c r="W188" i="1"/>
  <c r="AH188" i="1" l="1"/>
  <c r="AD175" i="1"/>
  <c r="AU157" i="1" l="1"/>
  <c r="AW157" i="1" s="1"/>
  <c r="AF157" i="1"/>
  <c r="AE157" i="1" s="1"/>
  <c r="W157" i="1"/>
  <c r="AU158" i="1"/>
  <c r="AW158" i="1" s="1"/>
  <c r="AF158" i="1"/>
  <c r="AH158" i="1" s="1"/>
  <c r="W158" i="1"/>
  <c r="AE158" i="1" l="1"/>
  <c r="AH157" i="1"/>
  <c r="W148" i="1"/>
  <c r="W146" i="1"/>
  <c r="AH220" i="1" l="1"/>
  <c r="AH221" i="1"/>
  <c r="AH222" i="1"/>
  <c r="AH223" i="1"/>
  <c r="P102" i="1" l="1"/>
  <c r="R102" i="1" s="1"/>
  <c r="P97" i="1" l="1"/>
  <c r="R97" i="1" s="1"/>
  <c r="AA97" i="1"/>
  <c r="AA98" i="1"/>
  <c r="P98" i="1"/>
  <c r="R98" i="1" s="1"/>
  <c r="AA95" i="1" l="1"/>
  <c r="AF95" i="1" s="1"/>
  <c r="AU92" i="1"/>
  <c r="AW92" i="1" s="1"/>
  <c r="AF92" i="1"/>
  <c r="AH92" i="1" s="1"/>
  <c r="W92" i="1"/>
  <c r="AA93" i="1"/>
  <c r="P93" i="1"/>
  <c r="R93" i="1" s="1"/>
  <c r="P91" i="1"/>
  <c r="R91" i="1" s="1"/>
  <c r="AE92" i="1" l="1"/>
  <c r="P90" i="1"/>
  <c r="R90" i="1" s="1"/>
  <c r="P89" i="1"/>
  <c r="R89" i="1" s="1"/>
  <c r="P88" i="1"/>
  <c r="R88" i="1" s="1"/>
  <c r="AU86" i="1"/>
  <c r="AW86" i="1" s="1"/>
  <c r="AF86" i="1"/>
  <c r="AH86" i="1" s="1"/>
  <c r="W86" i="1"/>
  <c r="P87" i="1"/>
  <c r="R87" i="1" s="1"/>
  <c r="P50" i="1"/>
  <c r="R50" i="1" s="1"/>
  <c r="P85" i="1"/>
  <c r="R85" i="1" s="1"/>
  <c r="AE86" i="1" l="1"/>
  <c r="AU83" i="1"/>
  <c r="AW83" i="1" s="1"/>
  <c r="AF83" i="1"/>
  <c r="AH83" i="1" s="1"/>
  <c r="W83" i="1"/>
  <c r="T84" i="1"/>
  <c r="P84" i="1"/>
  <c r="R84" i="1" s="1"/>
  <c r="AE83" i="1" l="1"/>
  <c r="AU79" i="1"/>
  <c r="AW79" i="1" s="1"/>
  <c r="AF79" i="1"/>
  <c r="AH79" i="1" s="1"/>
  <c r="W79" i="1"/>
  <c r="AA80" i="1"/>
  <c r="P80" i="1"/>
  <c r="R80" i="1" s="1"/>
  <c r="AD77" i="1"/>
  <c r="AE79" i="1" l="1"/>
  <c r="AU70" i="1"/>
  <c r="AW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100" i="1"/>
  <c r="W101" i="1"/>
  <c r="W102" i="1"/>
  <c r="W104" i="1"/>
  <c r="W107" i="1"/>
  <c r="W109" i="1"/>
  <c r="W110" i="1"/>
  <c r="W112" i="1"/>
  <c r="W113" i="1"/>
  <c r="W114" i="1"/>
  <c r="W115" i="1"/>
  <c r="W116" i="1"/>
  <c r="W118" i="1"/>
  <c r="W119" i="1"/>
  <c r="W121" i="1"/>
  <c r="W122" i="1"/>
  <c r="W123" i="1"/>
  <c r="W124" i="1"/>
  <c r="W125" i="1"/>
  <c r="W126" i="1"/>
  <c r="W127" i="1"/>
  <c r="W128" i="1"/>
  <c r="W129" i="1"/>
  <c r="W130" i="1"/>
  <c r="W117" i="1"/>
  <c r="W131" i="1"/>
  <c r="W132" i="1"/>
  <c r="W133" i="1"/>
  <c r="W135" i="1"/>
  <c r="W136" i="1"/>
  <c r="W138" i="1"/>
  <c r="W139" i="1"/>
  <c r="W140" i="1"/>
  <c r="W141" i="1"/>
  <c r="W142" i="1"/>
  <c r="W143" i="1"/>
  <c r="W144" i="1"/>
  <c r="W145" i="1"/>
  <c r="W147" i="1"/>
  <c r="W150" i="1"/>
  <c r="W151" i="1"/>
  <c r="W154" i="1"/>
  <c r="W155" i="1"/>
  <c r="W156" i="1"/>
  <c r="W159" i="1"/>
  <c r="W166" i="1"/>
  <c r="W167" i="1"/>
  <c r="W168" i="1"/>
  <c r="W169" i="1"/>
  <c r="W171" i="1"/>
  <c r="W172" i="1"/>
  <c r="W174" i="1"/>
  <c r="W175" i="1"/>
  <c r="W179" i="1"/>
  <c r="W182" i="1"/>
  <c r="W183" i="1"/>
  <c r="W184" i="1"/>
  <c r="W186" i="1"/>
  <c r="W187" i="1"/>
  <c r="W173" i="1"/>
  <c r="W185" i="1"/>
  <c r="W180" i="1"/>
  <c r="W181" i="1"/>
  <c r="W149" i="1"/>
  <c r="W164" i="1"/>
  <c r="W103" i="1"/>
  <c r="W108" i="1"/>
  <c r="W137" i="1"/>
  <c r="W134" i="1"/>
  <c r="W152" i="1"/>
  <c r="W160" i="1"/>
  <c r="W163" i="1"/>
  <c r="W165" i="1"/>
  <c r="W153" i="1"/>
  <c r="W189" i="1"/>
  <c r="W170" i="1"/>
  <c r="W190" i="1"/>
  <c r="W176" i="1"/>
  <c r="W177" i="1"/>
  <c r="W178" i="1"/>
  <c r="W161" i="1"/>
  <c r="W192" i="1"/>
  <c r="W194" i="1"/>
  <c r="W195" i="1"/>
  <c r="W196" i="1"/>
  <c r="W197" i="1"/>
  <c r="W198" i="1"/>
  <c r="W199" i="1"/>
  <c r="W200" i="1"/>
  <c r="W201" i="1"/>
  <c r="W202" i="1"/>
  <c r="W203" i="1"/>
  <c r="W99" i="1"/>
  <c r="W204" i="1"/>
  <c r="W205" i="1"/>
  <c r="W206" i="1"/>
  <c r="W207" i="1"/>
  <c r="W208" i="1"/>
  <c r="W209" i="1"/>
  <c r="W210" i="1"/>
  <c r="W211" i="1"/>
  <c r="W212" i="1"/>
  <c r="W213" i="1"/>
  <c r="W214" i="1"/>
  <c r="W215" i="1"/>
  <c r="W216" i="1"/>
  <c r="W217" i="1"/>
  <c r="W218" i="1"/>
  <c r="W219" i="1"/>
  <c r="W220" i="1"/>
  <c r="W221" i="1"/>
  <c r="W222" i="1"/>
  <c r="W223"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U52" i="1"/>
  <c r="AW52" i="1" s="1"/>
  <c r="AF52" i="1"/>
  <c r="AH52" i="1" s="1"/>
  <c r="P64" i="1"/>
  <c r="R64" i="1" s="1"/>
  <c r="AA64" i="1"/>
  <c r="AE52" i="1" l="1"/>
  <c r="P63" i="1"/>
  <c r="R63" i="1" s="1"/>
  <c r="AU56" i="1" l="1"/>
  <c r="AW56" i="1" s="1"/>
  <c r="AF56" i="1"/>
  <c r="AH56" i="1" s="1"/>
  <c r="P62" i="1"/>
  <c r="R62" i="1" s="1"/>
  <c r="AA62" i="1"/>
  <c r="P61" i="1"/>
  <c r="R61" i="1" s="1"/>
  <c r="AA61" i="1"/>
  <c r="P59" i="1"/>
  <c r="R59" i="1" s="1"/>
  <c r="AA58" i="1"/>
  <c r="P58" i="1"/>
  <c r="R58" i="1" s="1"/>
  <c r="AA57" i="1"/>
  <c r="P57" i="1"/>
  <c r="R57" i="1" s="1"/>
  <c r="P55" i="1"/>
  <c r="R55" i="1" s="1"/>
  <c r="AA49" i="1"/>
  <c r="AU25" i="1"/>
  <c r="AW25" i="1" s="1"/>
  <c r="AF25" i="1"/>
  <c r="P49" i="1"/>
  <c r="R49" i="1" s="1"/>
  <c r="P48" i="1"/>
  <c r="R48" i="1" s="1"/>
  <c r="AU33" i="1"/>
  <c r="AW33" i="1" s="1"/>
  <c r="AF33" i="1"/>
  <c r="AH33" i="1" s="1"/>
  <c r="AU39" i="1"/>
  <c r="AW39" i="1" s="1"/>
  <c r="AU30" i="1"/>
  <c r="AW30" i="1" s="1"/>
  <c r="AF39" i="1"/>
  <c r="AH39" i="1" s="1"/>
  <c r="AF30" i="1"/>
  <c r="AH30" i="1" s="1"/>
  <c r="AH25" i="1" l="1"/>
  <c r="AH95" i="1"/>
  <c r="AE25" i="1"/>
  <c r="AE56" i="1"/>
  <c r="AE30" i="1"/>
  <c r="AE33" i="1"/>
  <c r="AE39" i="1"/>
  <c r="AU29" i="1"/>
  <c r="AW29" i="1" s="1"/>
  <c r="AF29" i="1"/>
  <c r="AH29" i="1" s="1"/>
  <c r="P29" i="1"/>
  <c r="R29" i="1" s="1"/>
  <c r="AU36" i="1"/>
  <c r="AW36" i="1" s="1"/>
  <c r="AF36" i="1"/>
  <c r="AH36" i="1" s="1"/>
  <c r="AE29" i="1" l="1"/>
  <c r="AE36" i="1"/>
  <c r="AU27" i="1"/>
  <c r="AW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3" i="4"/>
  <c r="AU16" i="1"/>
  <c r="AW16" i="1" s="1"/>
  <c r="AU17" i="1"/>
  <c r="AW17" i="1" s="1"/>
  <c r="AU18" i="1"/>
  <c r="AW18" i="1" s="1"/>
  <c r="AU19" i="1"/>
  <c r="AW19" i="1" s="1"/>
  <c r="AU20" i="1"/>
  <c r="AW20" i="1" s="1"/>
  <c r="AU21" i="1"/>
  <c r="AW21" i="1" s="1"/>
  <c r="AU22" i="1"/>
  <c r="AW22" i="1" s="1"/>
  <c r="AU23" i="1"/>
  <c r="AW23" i="1" s="1"/>
  <c r="AU31" i="1"/>
  <c r="AW31" i="1" s="1"/>
  <c r="AU34" i="1"/>
  <c r="AW34" i="1" s="1"/>
  <c r="AU35" i="1"/>
  <c r="AW35" i="1" s="1"/>
  <c r="AU37" i="1"/>
  <c r="AW37" i="1" s="1"/>
  <c r="AU38" i="1"/>
  <c r="AW38" i="1" s="1"/>
  <c r="AU40" i="1"/>
  <c r="AW40" i="1" s="1"/>
  <c r="AU41" i="1"/>
  <c r="AW41" i="1" s="1"/>
  <c r="AU42" i="1"/>
  <c r="AW42" i="1" s="1"/>
  <c r="AU43" i="1"/>
  <c r="AW43" i="1" s="1"/>
  <c r="AU45" i="1"/>
  <c r="AW45" i="1" s="1"/>
  <c r="AU46" i="1"/>
  <c r="AW46" i="1" s="1"/>
  <c r="AU48" i="1"/>
  <c r="AW48" i="1" s="1"/>
  <c r="AU49" i="1"/>
  <c r="AW49" i="1" s="1"/>
  <c r="AU24" i="1"/>
  <c r="AW24" i="1" s="1"/>
  <c r="AU50" i="1"/>
  <c r="AW50" i="1" s="1"/>
  <c r="AU51" i="1"/>
  <c r="AW51" i="1" s="1"/>
  <c r="AU55" i="1"/>
  <c r="AW55" i="1" s="1"/>
  <c r="AU57" i="1"/>
  <c r="AW57" i="1" s="1"/>
  <c r="AU58" i="1"/>
  <c r="AW58" i="1" s="1"/>
  <c r="AU59" i="1"/>
  <c r="AW59" i="1" s="1"/>
  <c r="AU61" i="1"/>
  <c r="AW61" i="1" s="1"/>
  <c r="AU62" i="1"/>
  <c r="AW62" i="1" s="1"/>
  <c r="AU63" i="1"/>
  <c r="AW63" i="1" s="1"/>
  <c r="AU64" i="1"/>
  <c r="AW64" i="1" s="1"/>
  <c r="AU65" i="1"/>
  <c r="AW65" i="1" s="1"/>
  <c r="AU68" i="1"/>
  <c r="AW68" i="1" s="1"/>
  <c r="AU69" i="1"/>
  <c r="AW69" i="1" s="1"/>
  <c r="AU71" i="1"/>
  <c r="AW71" i="1" s="1"/>
  <c r="AU72" i="1"/>
  <c r="AW72" i="1" s="1"/>
  <c r="AU73" i="1"/>
  <c r="AW73" i="1" s="1"/>
  <c r="AU74" i="1"/>
  <c r="AW74" i="1" s="1"/>
  <c r="AU75" i="1"/>
  <c r="AW75" i="1" s="1"/>
  <c r="AU80" i="1"/>
  <c r="AW80" i="1" s="1"/>
  <c r="AU81" i="1"/>
  <c r="AW81" i="1" s="1"/>
  <c r="AU82" i="1"/>
  <c r="AW82" i="1" s="1"/>
  <c r="AU84" i="1"/>
  <c r="AW84" i="1" s="1"/>
  <c r="AU85" i="1"/>
  <c r="AW85" i="1" s="1"/>
  <c r="AU87" i="1"/>
  <c r="AW87" i="1" s="1"/>
  <c r="AU88" i="1"/>
  <c r="AW88" i="1" s="1"/>
  <c r="AU89" i="1"/>
  <c r="AW89" i="1" s="1"/>
  <c r="AU90" i="1"/>
  <c r="AW90" i="1" s="1"/>
  <c r="AU91" i="1"/>
  <c r="AW91" i="1" s="1"/>
  <c r="AU93" i="1"/>
  <c r="AW93" i="1" s="1"/>
  <c r="AU94" i="1"/>
  <c r="AW94" i="1" s="1"/>
  <c r="AU95" i="1"/>
  <c r="AW95" i="1" s="1"/>
  <c r="AU96" i="1"/>
  <c r="AW96" i="1" s="1"/>
  <c r="AU97" i="1"/>
  <c r="AW97" i="1" s="1"/>
  <c r="AU98" i="1"/>
  <c r="AW98" i="1" s="1"/>
  <c r="AU100" i="1"/>
  <c r="AW100" i="1" s="1"/>
  <c r="AU101" i="1"/>
  <c r="AW101" i="1" s="1"/>
  <c r="AU102" i="1"/>
  <c r="AW102" i="1" s="1"/>
  <c r="AU104" i="1"/>
  <c r="AW104" i="1" s="1"/>
  <c r="AU109" i="1"/>
  <c r="AW109" i="1" s="1"/>
  <c r="AU110" i="1"/>
  <c r="AW110" i="1" s="1"/>
  <c r="AU112" i="1"/>
  <c r="AW112" i="1" s="1"/>
  <c r="AU113" i="1"/>
  <c r="AW113" i="1" s="1"/>
  <c r="AU114" i="1"/>
  <c r="AW114" i="1" s="1"/>
  <c r="AU115" i="1"/>
  <c r="AW115" i="1" s="1"/>
  <c r="AU116" i="1"/>
  <c r="AW116" i="1" s="1"/>
  <c r="AU118" i="1"/>
  <c r="AW118" i="1" s="1"/>
  <c r="AU119" i="1"/>
  <c r="AW119" i="1" s="1"/>
  <c r="AU122" i="1"/>
  <c r="AW122" i="1" s="1"/>
  <c r="AU123" i="1"/>
  <c r="AW123" i="1" s="1"/>
  <c r="AU124" i="1"/>
  <c r="AW124" i="1" s="1"/>
  <c r="AU125" i="1"/>
  <c r="AW125" i="1" s="1"/>
  <c r="AU128" i="1"/>
  <c r="AW128" i="1" s="1"/>
  <c r="AU129" i="1"/>
  <c r="AW129" i="1" s="1"/>
  <c r="AU130" i="1"/>
  <c r="AW130" i="1" s="1"/>
  <c r="AU117" i="1"/>
  <c r="AW117" i="1" s="1"/>
  <c r="AU131" i="1"/>
  <c r="AW131" i="1" s="1"/>
  <c r="AU132" i="1"/>
  <c r="AW132" i="1" s="1"/>
  <c r="AU133" i="1"/>
  <c r="AW133" i="1" s="1"/>
  <c r="AU135" i="1"/>
  <c r="AW135" i="1" s="1"/>
  <c r="AU136" i="1"/>
  <c r="AW136" i="1" s="1"/>
  <c r="AU138" i="1"/>
  <c r="AW138" i="1" s="1"/>
  <c r="AU141" i="1"/>
  <c r="AW141" i="1" s="1"/>
  <c r="AU143" i="1"/>
  <c r="AW143" i="1" s="1"/>
  <c r="AU145" i="1"/>
  <c r="AW145" i="1" s="1"/>
  <c r="AU150" i="1"/>
  <c r="AW150" i="1" s="1"/>
  <c r="AU154" i="1"/>
  <c r="AW154" i="1" s="1"/>
  <c r="AU155" i="1"/>
  <c r="AW155" i="1" s="1"/>
  <c r="AU159" i="1"/>
  <c r="AW159" i="1" s="1"/>
  <c r="AU168" i="1"/>
  <c r="AW168" i="1" s="1"/>
  <c r="AU171" i="1"/>
  <c r="AW171" i="1" s="1"/>
  <c r="AU172" i="1"/>
  <c r="AW172" i="1" s="1"/>
  <c r="AU174" i="1"/>
  <c r="AW174" i="1" s="1"/>
  <c r="AU183" i="1"/>
  <c r="AW183" i="1" s="1"/>
  <c r="AU187" i="1"/>
  <c r="AW187" i="1" s="1"/>
  <c r="AU67" i="1"/>
  <c r="AW67" i="1" s="1"/>
  <c r="AU44" i="1"/>
  <c r="AW44" i="1" s="1"/>
  <c r="AU66" i="1"/>
  <c r="AW66" i="1" s="1"/>
  <c r="AU76" i="1"/>
  <c r="AW76" i="1" s="1"/>
  <c r="AU77" i="1"/>
  <c r="AW77" i="1" s="1"/>
  <c r="AU105" i="1"/>
  <c r="AW105" i="1" s="1"/>
  <c r="AU120" i="1"/>
  <c r="AW120" i="1" s="1"/>
  <c r="AU126" i="1"/>
  <c r="AW126" i="1" s="1"/>
  <c r="AU106" i="1"/>
  <c r="AW106" i="1" s="1"/>
  <c r="AU179" i="1"/>
  <c r="AW179" i="1" s="1"/>
  <c r="AU166" i="1"/>
  <c r="AW166" i="1" s="1"/>
  <c r="AU175" i="1"/>
  <c r="AW175" i="1" s="1"/>
  <c r="AU182" i="1"/>
  <c r="AW182" i="1" s="1"/>
  <c r="AU156" i="1"/>
  <c r="AW156" i="1" s="1"/>
  <c r="AU148" i="1"/>
  <c r="AW148" i="1" s="1"/>
  <c r="AU146" i="1"/>
  <c r="AW146" i="1" s="1"/>
  <c r="AU173" i="1"/>
  <c r="AW173" i="1" s="1"/>
  <c r="AU185" i="1"/>
  <c r="AW185" i="1" s="1"/>
  <c r="AU180" i="1"/>
  <c r="AW180" i="1" s="1"/>
  <c r="AU181" i="1"/>
  <c r="AW181" i="1" s="1"/>
  <c r="AU149" i="1"/>
  <c r="AW149" i="1" s="1"/>
  <c r="AU164" i="1"/>
  <c r="AW164" i="1" s="1"/>
  <c r="AU103" i="1"/>
  <c r="AW103" i="1" s="1"/>
  <c r="AU108" i="1"/>
  <c r="AW108" i="1" s="1"/>
  <c r="AU137" i="1"/>
  <c r="AW137" i="1" s="1"/>
  <c r="AU134" i="1"/>
  <c r="AW134" i="1" s="1"/>
  <c r="AU152" i="1"/>
  <c r="AW152" i="1" s="1"/>
  <c r="AU160" i="1"/>
  <c r="AW160" i="1" s="1"/>
  <c r="AW163" i="1"/>
  <c r="AU165" i="1"/>
  <c r="AW165" i="1" s="1"/>
  <c r="AU153" i="1"/>
  <c r="AW153" i="1" s="1"/>
  <c r="AU189" i="1"/>
  <c r="AW189" i="1" s="1"/>
  <c r="AU170" i="1"/>
  <c r="AW170" i="1" s="1"/>
  <c r="AU190" i="1"/>
  <c r="AW190" i="1" s="1"/>
  <c r="AU176" i="1"/>
  <c r="AW176" i="1" s="1"/>
  <c r="AU177" i="1"/>
  <c r="AW177" i="1" s="1"/>
  <c r="AU178" i="1"/>
  <c r="AW178" i="1" s="1"/>
  <c r="AU161" i="1"/>
  <c r="AW161" i="1" s="1"/>
  <c r="AU192" i="1"/>
  <c r="AW192" i="1" s="1"/>
  <c r="AU194" i="1"/>
  <c r="AW194" i="1" s="1"/>
  <c r="AU28" i="1"/>
  <c r="AW28" i="1" s="1"/>
  <c r="AU195" i="1"/>
  <c r="AW195" i="1" s="1"/>
  <c r="AU196" i="1"/>
  <c r="AW196" i="1" s="1"/>
  <c r="AU197" i="1"/>
  <c r="AW197" i="1" s="1"/>
  <c r="AU198" i="1"/>
  <c r="AW198" i="1" s="1"/>
  <c r="AU199" i="1"/>
  <c r="AW199" i="1" s="1"/>
  <c r="AU78" i="1"/>
  <c r="AW78" i="1" s="1"/>
  <c r="AU121" i="1"/>
  <c r="AW121" i="1" s="1"/>
  <c r="AU127" i="1"/>
  <c r="AW127" i="1" s="1"/>
  <c r="AU139" i="1"/>
  <c r="AW139" i="1" s="1"/>
  <c r="AU140" i="1"/>
  <c r="AW140" i="1" s="1"/>
  <c r="AU142" i="1"/>
  <c r="AW142" i="1" s="1"/>
  <c r="AU147" i="1"/>
  <c r="AW147" i="1" s="1"/>
  <c r="AU151" i="1"/>
  <c r="AW151" i="1" s="1"/>
  <c r="AU167" i="1"/>
  <c r="AW167" i="1" s="1"/>
  <c r="AU169" i="1"/>
  <c r="AW169" i="1" s="1"/>
  <c r="AU184" i="1"/>
  <c r="AW184" i="1" s="1"/>
  <c r="AU186" i="1"/>
  <c r="AW186" i="1" s="1"/>
  <c r="AU200" i="1"/>
  <c r="AW200" i="1" s="1"/>
  <c r="AU201" i="1"/>
  <c r="AW201" i="1" s="1"/>
  <c r="AU202" i="1"/>
  <c r="AW202" i="1" s="1"/>
  <c r="AU60" i="1"/>
  <c r="AW60" i="1" s="1"/>
  <c r="AU203" i="1"/>
  <c r="AW203" i="1" s="1"/>
  <c r="AU99" i="1"/>
  <c r="AW99" i="1" s="1"/>
  <c r="AU107" i="1"/>
  <c r="AW107" i="1" s="1"/>
  <c r="AU144" i="1"/>
  <c r="AW144" i="1" s="1"/>
  <c r="AU204" i="1"/>
  <c r="AW204" i="1" s="1"/>
  <c r="AU205" i="1"/>
  <c r="AW205" i="1" s="1"/>
  <c r="AU206" i="1"/>
  <c r="AW206" i="1" s="1"/>
  <c r="AU14" i="1"/>
  <c r="AW14" i="1" s="1"/>
  <c r="AU47" i="1"/>
  <c r="AW47" i="1" s="1"/>
  <c r="AU207" i="1"/>
  <c r="AW207" i="1" s="1"/>
  <c r="AU208" i="1"/>
  <c r="AW208" i="1" s="1"/>
  <c r="AU2" i="1"/>
  <c r="AW2" i="1" s="1"/>
  <c r="AU32" i="1"/>
  <c r="AW32" i="1" s="1"/>
  <c r="AU209" i="1"/>
  <c r="AW209" i="1" s="1"/>
  <c r="AU210" i="1"/>
  <c r="AW210" i="1" s="1"/>
  <c r="AU211" i="1"/>
  <c r="AW211" i="1" s="1"/>
  <c r="AU212" i="1"/>
  <c r="AW212" i="1" s="1"/>
  <c r="AU213" i="1"/>
  <c r="AW213" i="1" s="1"/>
  <c r="AU214" i="1"/>
  <c r="AW214" i="1" s="1"/>
  <c r="AU215" i="1"/>
  <c r="AW215" i="1" s="1"/>
  <c r="AU216" i="1"/>
  <c r="AW216" i="1" s="1"/>
  <c r="AU217" i="1"/>
  <c r="AW217" i="1" s="1"/>
  <c r="AU218" i="1"/>
  <c r="AW218" i="1" s="1"/>
  <c r="AU219" i="1"/>
  <c r="AW219" i="1" s="1"/>
  <c r="AU54" i="1"/>
  <c r="AW54" i="1" s="1"/>
  <c r="AU26" i="1"/>
  <c r="AW26" i="1" s="1"/>
  <c r="AU3" i="1"/>
  <c r="AW3" i="1" s="1"/>
  <c r="AU4" i="1"/>
  <c r="AW4" i="1" s="1"/>
  <c r="AU5" i="1"/>
  <c r="AW5" i="1" s="1"/>
  <c r="AU6" i="1"/>
  <c r="AW6" i="1" s="1"/>
  <c r="AU7" i="1"/>
  <c r="AW7" i="1" s="1"/>
  <c r="AU8" i="1"/>
  <c r="AW8" i="1" s="1"/>
  <c r="AU9" i="1"/>
  <c r="AW9" i="1" s="1"/>
  <c r="AU10" i="1"/>
  <c r="AW10" i="1" s="1"/>
  <c r="AU11" i="1"/>
  <c r="AW11" i="1" s="1"/>
  <c r="AU12" i="1"/>
  <c r="AW12" i="1" s="1"/>
  <c r="AU13" i="1"/>
  <c r="AW13" i="1" s="1"/>
  <c r="AU15" i="1"/>
  <c r="AW15" i="1" s="1"/>
  <c r="AU53" i="1"/>
  <c r="AW53"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C16" i="3"/>
  <c r="B16" i="3" s="1"/>
  <c r="C17" i="3"/>
  <c r="B17" i="3" s="1"/>
  <c r="C18" i="3"/>
  <c r="B18" i="3" s="1"/>
  <c r="C3" i="3"/>
  <c r="B3" i="3" s="1"/>
  <c r="AF101" i="1" l="1"/>
  <c r="AH101" i="1" s="1"/>
  <c r="AF102" i="1"/>
  <c r="AH102"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100" i="1"/>
  <c r="AH100" i="1" s="1"/>
  <c r="AF104" i="1"/>
  <c r="AH104" i="1" s="1"/>
  <c r="AF109" i="1"/>
  <c r="AH109" i="1" s="1"/>
  <c r="AF110" i="1"/>
  <c r="AH110" i="1" s="1"/>
  <c r="AF112" i="1"/>
  <c r="AH112" i="1" s="1"/>
  <c r="AF113" i="1"/>
  <c r="AH113" i="1" s="1"/>
  <c r="AF114" i="1"/>
  <c r="AH114" i="1" s="1"/>
  <c r="AF115" i="1"/>
  <c r="AH115" i="1" s="1"/>
  <c r="AF116" i="1"/>
  <c r="AH116" i="1" s="1"/>
  <c r="AF118" i="1"/>
  <c r="AH118" i="1" s="1"/>
  <c r="AF119" i="1"/>
  <c r="AH119" i="1" s="1"/>
  <c r="AF122" i="1"/>
  <c r="AH122" i="1" s="1"/>
  <c r="AF123" i="1"/>
  <c r="AH123" i="1" s="1"/>
  <c r="AF124" i="1"/>
  <c r="AH124" i="1" s="1"/>
  <c r="AF125" i="1"/>
  <c r="AH125" i="1" s="1"/>
  <c r="AF128" i="1"/>
  <c r="AH128" i="1" s="1"/>
  <c r="AF129" i="1"/>
  <c r="AH129" i="1" s="1"/>
  <c r="AF130" i="1"/>
  <c r="AH130" i="1" s="1"/>
  <c r="AF117" i="1"/>
  <c r="AH117" i="1" s="1"/>
  <c r="AF131" i="1"/>
  <c r="AH131" i="1" s="1"/>
  <c r="AF132" i="1"/>
  <c r="AH132" i="1" s="1"/>
  <c r="AF133" i="1"/>
  <c r="AH133" i="1" s="1"/>
  <c r="AF135" i="1"/>
  <c r="AH135" i="1" s="1"/>
  <c r="AF136" i="1"/>
  <c r="AH136" i="1" s="1"/>
  <c r="AF138" i="1"/>
  <c r="AH138" i="1" s="1"/>
  <c r="AF141" i="1"/>
  <c r="AH141" i="1" s="1"/>
  <c r="AF143" i="1"/>
  <c r="AH143" i="1" s="1"/>
  <c r="AF145" i="1"/>
  <c r="AH145" i="1" s="1"/>
  <c r="AF150" i="1"/>
  <c r="AH150" i="1" s="1"/>
  <c r="AF154" i="1"/>
  <c r="AH154" i="1" s="1"/>
  <c r="AF155" i="1"/>
  <c r="AH155" i="1" s="1"/>
  <c r="AF159" i="1"/>
  <c r="AH159" i="1" s="1"/>
  <c r="AF168" i="1"/>
  <c r="AH168" i="1" s="1"/>
  <c r="AF171" i="1"/>
  <c r="AH171" i="1" s="1"/>
  <c r="AF172" i="1"/>
  <c r="AH172" i="1" s="1"/>
  <c r="AF174" i="1"/>
  <c r="AH174" i="1" s="1"/>
  <c r="AF183" i="1"/>
  <c r="AH183" i="1" s="1"/>
  <c r="AF187" i="1"/>
  <c r="AH187" i="1" s="1"/>
  <c r="AF67" i="1"/>
  <c r="AH67" i="1" s="1"/>
  <c r="AF44" i="1"/>
  <c r="AH44" i="1" s="1"/>
  <c r="AF66" i="1"/>
  <c r="AH66" i="1" s="1"/>
  <c r="AF76" i="1"/>
  <c r="AH76" i="1" s="1"/>
  <c r="AF77" i="1"/>
  <c r="AH77" i="1" s="1"/>
  <c r="AF105" i="1"/>
  <c r="AH105" i="1" s="1"/>
  <c r="AF120" i="1"/>
  <c r="AH120" i="1" s="1"/>
  <c r="AF126" i="1"/>
  <c r="AH126" i="1" s="1"/>
  <c r="AF106" i="1"/>
  <c r="AH106" i="1" s="1"/>
  <c r="AF179" i="1"/>
  <c r="AH179" i="1" s="1"/>
  <c r="AF166" i="1"/>
  <c r="AH166" i="1" s="1"/>
  <c r="AF175" i="1"/>
  <c r="AH175" i="1" s="1"/>
  <c r="AF182" i="1"/>
  <c r="AH182" i="1" s="1"/>
  <c r="AF156" i="1"/>
  <c r="AH156" i="1" s="1"/>
  <c r="AF148" i="1"/>
  <c r="AH148" i="1" s="1"/>
  <c r="AF146" i="1"/>
  <c r="AH146" i="1" s="1"/>
  <c r="AF173" i="1"/>
  <c r="AH173" i="1" s="1"/>
  <c r="AF185" i="1"/>
  <c r="AH185" i="1" s="1"/>
  <c r="AF180" i="1"/>
  <c r="AH180" i="1" s="1"/>
  <c r="AF181" i="1"/>
  <c r="AH181" i="1" s="1"/>
  <c r="AF149" i="1"/>
  <c r="AH149" i="1" s="1"/>
  <c r="AF164" i="1"/>
  <c r="AH164" i="1" s="1"/>
  <c r="AF103" i="1"/>
  <c r="AH103" i="1" s="1"/>
  <c r="AF108" i="1"/>
  <c r="AH108" i="1" s="1"/>
  <c r="AF137" i="1"/>
  <c r="AH137" i="1" s="1"/>
  <c r="AF134" i="1"/>
  <c r="AH134" i="1" s="1"/>
  <c r="AF152" i="1"/>
  <c r="AH152" i="1" s="1"/>
  <c r="AF160" i="1"/>
  <c r="AH160" i="1" s="1"/>
  <c r="AF163" i="1"/>
  <c r="AH163" i="1" s="1"/>
  <c r="AF165" i="1"/>
  <c r="AH165" i="1" s="1"/>
  <c r="AF153" i="1"/>
  <c r="AH153" i="1" s="1"/>
  <c r="AF189" i="1"/>
  <c r="AH189" i="1" s="1"/>
  <c r="AF170" i="1"/>
  <c r="AH170" i="1" s="1"/>
  <c r="AH190" i="1"/>
  <c r="AF176" i="1"/>
  <c r="AH176" i="1" s="1"/>
  <c r="AF177" i="1"/>
  <c r="AH177" i="1" s="1"/>
  <c r="AF178" i="1"/>
  <c r="AH178" i="1" s="1"/>
  <c r="AF161" i="1"/>
  <c r="AH161" i="1" s="1"/>
  <c r="AF192" i="1"/>
  <c r="AH192" i="1" s="1"/>
  <c r="AF194" i="1"/>
  <c r="AH194" i="1" s="1"/>
  <c r="AF28" i="1"/>
  <c r="AH28" i="1" s="1"/>
  <c r="AF195" i="1"/>
  <c r="AH195" i="1" s="1"/>
  <c r="AF196" i="1"/>
  <c r="AH196" i="1" s="1"/>
  <c r="AF197" i="1"/>
  <c r="AH197" i="1" s="1"/>
  <c r="AF198" i="1"/>
  <c r="AH198" i="1" s="1"/>
  <c r="AF199" i="1"/>
  <c r="AH199" i="1" s="1"/>
  <c r="AF78" i="1"/>
  <c r="AH78" i="1" s="1"/>
  <c r="AF121" i="1"/>
  <c r="AH121" i="1" s="1"/>
  <c r="AF127" i="1"/>
  <c r="AH127" i="1" s="1"/>
  <c r="AF139" i="1"/>
  <c r="AH139" i="1" s="1"/>
  <c r="AF140" i="1"/>
  <c r="AH140" i="1" s="1"/>
  <c r="AF142" i="1"/>
  <c r="AH142" i="1" s="1"/>
  <c r="AF147" i="1"/>
  <c r="AH147" i="1" s="1"/>
  <c r="AF151" i="1"/>
  <c r="AH151" i="1" s="1"/>
  <c r="AF167" i="1"/>
  <c r="AH167" i="1" s="1"/>
  <c r="AF169" i="1"/>
  <c r="AH169" i="1" s="1"/>
  <c r="AF184" i="1"/>
  <c r="AH184" i="1" s="1"/>
  <c r="AF186" i="1"/>
  <c r="AH186" i="1" s="1"/>
  <c r="AF200" i="1"/>
  <c r="AH200" i="1" s="1"/>
  <c r="AF201" i="1"/>
  <c r="AH201" i="1" s="1"/>
  <c r="AF202" i="1"/>
  <c r="AH202" i="1" s="1"/>
  <c r="AF60" i="1"/>
  <c r="AH60" i="1" s="1"/>
  <c r="AF203" i="1"/>
  <c r="AH203" i="1" s="1"/>
  <c r="AF99" i="1"/>
  <c r="AH99" i="1" s="1"/>
  <c r="AF107" i="1"/>
  <c r="AH107" i="1" s="1"/>
  <c r="AF144" i="1"/>
  <c r="AH144" i="1" s="1"/>
  <c r="AF204" i="1"/>
  <c r="AH204" i="1" s="1"/>
  <c r="AF205" i="1"/>
  <c r="AH205" i="1" s="1"/>
  <c r="AF206" i="1"/>
  <c r="AH206" i="1" s="1"/>
  <c r="AF14" i="1"/>
  <c r="AH14" i="1" s="1"/>
  <c r="AF47" i="1"/>
  <c r="AH47" i="1" s="1"/>
  <c r="AF207" i="1"/>
  <c r="AH207" i="1" s="1"/>
  <c r="AF208" i="1"/>
  <c r="AH208" i="1" s="1"/>
  <c r="AF2" i="1"/>
  <c r="AH2" i="1" s="1"/>
  <c r="AF32" i="1"/>
  <c r="AH32" i="1" s="1"/>
  <c r="AF209" i="1"/>
  <c r="AH209" i="1" s="1"/>
  <c r="AF210" i="1"/>
  <c r="AH210" i="1" s="1"/>
  <c r="AF211" i="1"/>
  <c r="AH211" i="1" s="1"/>
  <c r="AF212" i="1"/>
  <c r="AH212" i="1" s="1"/>
  <c r="AF213" i="1"/>
  <c r="AH213" i="1" s="1"/>
  <c r="AF214" i="1"/>
  <c r="AH214" i="1" s="1"/>
  <c r="AF215" i="1"/>
  <c r="AH215" i="1" s="1"/>
  <c r="AF216" i="1"/>
  <c r="AH216" i="1" s="1"/>
  <c r="AF217" i="1"/>
  <c r="AH217" i="1" s="1"/>
  <c r="AF218" i="1"/>
  <c r="AH218" i="1" s="1"/>
  <c r="AF219" i="1"/>
  <c r="AH219" i="1" s="1"/>
  <c r="AF53" i="1"/>
  <c r="AH53" i="1" s="1"/>
  <c r="AH69" i="1" s="1"/>
  <c r="AH71" i="1" l="1"/>
  <c r="AE55" i="1"/>
  <c r="AH55" i="1"/>
  <c r="AH68" i="1"/>
  <c r="AE69" i="1"/>
  <c r="AE68" i="1"/>
  <c r="AE53" i="1"/>
  <c r="AE49" i="1"/>
  <c r="AE43" i="1"/>
  <c r="AE38" i="1"/>
  <c r="AE31" i="1"/>
  <c r="AE20" i="1"/>
  <c r="AE16" i="1"/>
  <c r="AE11" i="1"/>
  <c r="AE7" i="1"/>
  <c r="AE3" i="1"/>
  <c r="AE214" i="1"/>
  <c r="AE206" i="1"/>
  <c r="AE60" i="1"/>
  <c r="AE151" i="1"/>
  <c r="AE161" i="1"/>
  <c r="AE134" i="1"/>
  <c r="AE156" i="1"/>
  <c r="AE174" i="1"/>
  <c r="AE136" i="1"/>
  <c r="AE122" i="1"/>
  <c r="AE98" i="1"/>
  <c r="AE89" i="1"/>
  <c r="AE72" i="1"/>
  <c r="AE207" i="1"/>
  <c r="AE147" i="1"/>
  <c r="AE178" i="1"/>
  <c r="AE137" i="1"/>
  <c r="AE173" i="1"/>
  <c r="AE77" i="1"/>
  <c r="AE155" i="1"/>
  <c r="AE117" i="1"/>
  <c r="AE114" i="1"/>
  <c r="AE97" i="1"/>
  <c r="AE88" i="1"/>
  <c r="AE82" i="1"/>
  <c r="AE71" i="1"/>
  <c r="AE59" i="1"/>
  <c r="AE51" i="1"/>
  <c r="AE48" i="1"/>
  <c r="AE37" i="1"/>
  <c r="AE23" i="1"/>
  <c r="AE19" i="1"/>
  <c r="AE15" i="1"/>
  <c r="AE10" i="1"/>
  <c r="AE6" i="1"/>
  <c r="AE54" i="1"/>
  <c r="AE218" i="1"/>
  <c r="AE208" i="1"/>
  <c r="AE139" i="1"/>
  <c r="AE195" i="1"/>
  <c r="AE165" i="1"/>
  <c r="AE185" i="1"/>
  <c r="AE105" i="1"/>
  <c r="AE159" i="1"/>
  <c r="AE131" i="1"/>
  <c r="AE115" i="1"/>
  <c r="AE94" i="1"/>
  <c r="AE75" i="1"/>
  <c r="AE65" i="1"/>
  <c r="AE217" i="1"/>
  <c r="AE209" i="1"/>
  <c r="AE205" i="1"/>
  <c r="AE202" i="1"/>
  <c r="AE127" i="1"/>
  <c r="AE28" i="1"/>
  <c r="AE170" i="1"/>
  <c r="AE149" i="1"/>
  <c r="AE106" i="1"/>
  <c r="AE172" i="1"/>
  <c r="AE143" i="1"/>
  <c r="AE135" i="1"/>
  <c r="AE119" i="1"/>
  <c r="AE109" i="1"/>
  <c r="AE93" i="1"/>
  <c r="AE74" i="1"/>
  <c r="AE64" i="1"/>
  <c r="AE216" i="1"/>
  <c r="AE212" i="1"/>
  <c r="AE47" i="1"/>
  <c r="AE99" i="1"/>
  <c r="AE201" i="1"/>
  <c r="AE169" i="1"/>
  <c r="AE142" i="1"/>
  <c r="AE121" i="1"/>
  <c r="AE197" i="1"/>
  <c r="AE194" i="1"/>
  <c r="AE177" i="1"/>
  <c r="AE189" i="1"/>
  <c r="AE160" i="1"/>
  <c r="AE108" i="1"/>
  <c r="AE181" i="1"/>
  <c r="AE146" i="1"/>
  <c r="AE175" i="1"/>
  <c r="AE126" i="1"/>
  <c r="AE76" i="1"/>
  <c r="AE187" i="1"/>
  <c r="AE171" i="1"/>
  <c r="AE154" i="1"/>
  <c r="AE141" i="1"/>
  <c r="AE133" i="1"/>
  <c r="AE130" i="1"/>
  <c r="AE124" i="1"/>
  <c r="AE118" i="1"/>
  <c r="AE113" i="1"/>
  <c r="AE104" i="1"/>
  <c r="AE96" i="1"/>
  <c r="AE91" i="1"/>
  <c r="AE87" i="1"/>
  <c r="AE81" i="1"/>
  <c r="AE73" i="1"/>
  <c r="AE63" i="1"/>
  <c r="AE58" i="1"/>
  <c r="AE50" i="1"/>
  <c r="AE46" i="1"/>
  <c r="AE35" i="1"/>
  <c r="AE22" i="1"/>
  <c r="AE18" i="1"/>
  <c r="AE13" i="1"/>
  <c r="AE9" i="1"/>
  <c r="AE5" i="1"/>
  <c r="AE102" i="1"/>
  <c r="AE210" i="1"/>
  <c r="AE144" i="1"/>
  <c r="AE186" i="1"/>
  <c r="AE199" i="1"/>
  <c r="AE190" i="1"/>
  <c r="AE164" i="1"/>
  <c r="AE179" i="1"/>
  <c r="AE44" i="1"/>
  <c r="AE145" i="1"/>
  <c r="AE128" i="1"/>
  <c r="AE110" i="1"/>
  <c r="AE84" i="1"/>
  <c r="AE61" i="1"/>
  <c r="AE213" i="1"/>
  <c r="AE107" i="1"/>
  <c r="AE184" i="1"/>
  <c r="AE198" i="1"/>
  <c r="AE163" i="1"/>
  <c r="AE182" i="1"/>
  <c r="AE67" i="1"/>
  <c r="AE125" i="1"/>
  <c r="AE32" i="1"/>
  <c r="AE204" i="1"/>
  <c r="AE219" i="1"/>
  <c r="AE215" i="1"/>
  <c r="AE211" i="1"/>
  <c r="AE2" i="1"/>
  <c r="AE14" i="1"/>
  <c r="AE203" i="1"/>
  <c r="AE200" i="1"/>
  <c r="AE167" i="1"/>
  <c r="AE140" i="1"/>
  <c r="AE78" i="1"/>
  <c r="AE196" i="1"/>
  <c r="AE192" i="1"/>
  <c r="AE176" i="1"/>
  <c r="AE153" i="1"/>
  <c r="AE152" i="1"/>
  <c r="AE103" i="1"/>
  <c r="AE180" i="1"/>
  <c r="AE148" i="1"/>
  <c r="AE166" i="1"/>
  <c r="AE120" i="1"/>
  <c r="AE66" i="1"/>
  <c r="AE183" i="1"/>
  <c r="AE168" i="1"/>
  <c r="AE150" i="1"/>
  <c r="AE138" i="1"/>
  <c r="AE132" i="1"/>
  <c r="AE129" i="1"/>
  <c r="AE123" i="1"/>
  <c r="AE116" i="1"/>
  <c r="AE112" i="1"/>
  <c r="AE100" i="1"/>
  <c r="AE95" i="1"/>
  <c r="AE90" i="1"/>
  <c r="AE85" i="1"/>
  <c r="AE80" i="1"/>
  <c r="AE62" i="1"/>
  <c r="AE57" i="1"/>
  <c r="AE24" i="1"/>
  <c r="AE45" i="1"/>
  <c r="AE40" i="1"/>
  <c r="AE34" i="1"/>
  <c r="AE21" i="1"/>
  <c r="AE17" i="1"/>
  <c r="AE12" i="1"/>
  <c r="AE8" i="1"/>
  <c r="AE4" i="1"/>
  <c r="AE101" i="1"/>
  <c r="AE42" i="1"/>
  <c r="AE41" i="1"/>
  <c r="J156" i="1" l="1"/>
  <c r="J182" i="1"/>
  <c r="S106" i="1"/>
  <c r="W106" i="1" s="1"/>
  <c r="S120" i="1" l="1"/>
  <c r="W120" i="1" s="1"/>
  <c r="S105" i="1"/>
  <c r="W105" i="1" s="1"/>
  <c r="J119" i="1" l="1"/>
  <c r="J113" i="1"/>
  <c r="S48" i="1" l="1"/>
  <c r="W48" i="1" s="1"/>
  <c r="S17" i="1"/>
  <c r="W17" i="1" s="1"/>
</calcChain>
</file>

<file path=xl/sharedStrings.xml><?xml version="1.0" encoding="utf-8"?>
<sst xmlns="http://schemas.openxmlformats.org/spreadsheetml/2006/main" count="1688" uniqueCount="798">
  <si>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</si>
  <si>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</si>
  <si>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</si>
  <si>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</si>
  <si>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</si>
  <si>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</si>
  <si>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</si>
  <si>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</si>
  <si>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</si>
  <si>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</si>
  <si>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</si>
  <si>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</si>
  <si>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</si>
  <si>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</si>
  <si>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</si>
  <si>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</si>
  <si>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</si>
  <si>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</si>
  <si>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</si>
  <si>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</si>
  <si>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</si>
  <si>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</si>
  <si>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</si>
  <si>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</si>
  <si>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</si>
  <si>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</si>
  <si>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</si>
  <si>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</si>
  <si>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</si>
  <si>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</si>
  <si>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</si>
  <si>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</si>
  <si>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</si>
  <si>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</si>
  <si>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</si>
  <si>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</si>
  <si>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</si>
  <si>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</si>
  <si>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</si>
  <si>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</si>
  <si>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</si>
  <si>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</si>
  <si>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</si>
  <si>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</si>
  <si>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</si>
  <si>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</si>
  <si>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</si>
  <si>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</si>
  <si>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</si>
  <si>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</si>
  <si>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</si>
  <si>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</si>
  <si>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</si>
  <si>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</si>
  <si>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</si>
  <si>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</si>
  <si>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</si>
  <si>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</si>
  <si>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</si>
  <si>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</si>
  <si>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</si>
  <si>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</si>
  <si>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</si>
  <si>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</si>
  <si>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</si>
  <si>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</si>
  <si>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</si>
  <si>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</si>
  <si>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</si>
  <si>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</si>
  <si>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</si>
  <si>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</si>
  <si>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</si>
  <si>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</si>
  <si>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</si>
  <si>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</si>
  <si>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</si>
  <si>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</si>
  <si>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</si>
  <si>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</si>
  <si>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</si>
  <si>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</si>
  <si>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</si>
  <si>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</si>
  <si>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</si>
  <si>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</si>
  <si>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</si>
  <si>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</si>
  <si>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</si>
  <si>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</si>
  <si>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</si>
  <si>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</si>
  <si>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</si>
  <si>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</si>
  <si>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</si>
  <si>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</si>
  <si>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</si>
  <si>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</si>
  <si>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</si>
  <si>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</si>
  <si>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</si>
  <si>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</si>
  <si>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</si>
  <si>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</si>
  <si>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</si>
  <si>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</si>
  <si>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</si>
  <si>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</si>
  <si>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</si>
  <si>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</si>
  <si>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</si>
  <si>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</si>
  <si>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</si>
  <si>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</si>
  <si>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</si>
  <si>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</si>
  <si>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</si>
  <si>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</si>
  <si>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</si>
  <si>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</si>
  <si>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</si>
  <si>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</si>
  <si>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</si>
  <si>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</si>
  <si>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</si>
  <si>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</si>
  <si>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</si>
  <si>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</si>
  <si>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</si>
  <si>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</si>
  <si>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</si>
  <si>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</si>
  <si>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</si>
  <si>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</si>
  <si>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</si>
  <si>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</si>
  <si>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</si>
  <si>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</si>
  <si>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</si>
  <si>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</si>
  <si>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</si>
  <si>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</si>
  <si>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</si>
  <si>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</si>
  <si>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</si>
  <si>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</si>
  <si>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</si>
  <si>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</si>
  <si>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</si>
  <si>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</si>
  <si>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</si>
  <si>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</si>
  <si>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</si>
  <si>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</si>
  <si>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</si>
  <si>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</si>
  <si>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</si>
  <si>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</si>
  <si>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</si>
  <si>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</si>
  <si>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</si>
  <si>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</si>
  <si>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</si>
  <si>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</si>
  <si>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</si>
  <si>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</si>
  <si>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</si>
  <si>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</si>
  <si>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</si>
  <si>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</si>
  <si>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</si>
  <si>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</si>
  <si>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</si>
  <si>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</si>
  <si>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</si>
  <si>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</si>
  <si>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</si>
  <si>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</si>
  <si>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</si>
  <si>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</si>
  <si>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</si>
  <si>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</si>
  <si>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</si>
  <si>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</si>
  <si>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</si>
  <si>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</si>
  <si>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</si>
  <si>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</si>
  <si>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</si>
  <si>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</si>
  <si>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</si>
  <si>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</si>
  <si>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</si>
  <si>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</si>
  <si>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</si>
  <si>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</si>
  <si>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</si>
  <si>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</si>
  <si>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</si>
  <si>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</si>
  <si>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</si>
  <si>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</si>
  <si>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</si>
  <si>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</si>
  <si>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</si>
  <si>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</si>
  <si>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</si>
  <si>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</si>
  <si>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</si>
  <si>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</si>
  <si>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</si>
  <si>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</si>
  <si>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</si>
  <si>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</si>
  <si>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</si>
  <si>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</si>
  <si>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</si>
  <si>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</si>
  <si>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</si>
  <si>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</si>
  <si>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</si>
  <si>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</si>
  <si>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</si>
  <si>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</si>
  <si>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</si>
  <si>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</si>
  <si>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</si>
  <si>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</si>
  <si>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</si>
  <si>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</si>
  <si>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</si>
  <si>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</si>
  <si>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</si>
  <si>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</si>
  <si>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</si>
  <si>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</si>
  <si>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</si>
  <si>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</si>
  <si>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</si>
  <si>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</si>
  <si>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</si>
  <si>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</si>
  <si>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</si>
  <si>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</si>
  <si>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</si>
  <si>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</si>
  <si>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</si>
  <si>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</si>
  <si>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</si>
  <si>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</si>
  <si>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</si>
  <si>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</si>
  <si>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</si>
  <si>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</si>
  <si>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</si>
  <si>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</si>
  <si>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</si>
  <si>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</si>
  <si>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</si>
  <si>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</si>
  <si>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</si>
  <si>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</si>
  <si>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</si>
  <si>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</si>
  <si>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</si>
  <si>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</si>
  <si>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</si>
  <si>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</si>
  <si>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</si>
  <si>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</si>
  <si>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</si>
  <si>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</si>
  <si>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</si>
  <si>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</si>
  <si>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</si>
  <si>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</si>
  <si>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</si>
  <si>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</si>
  <si>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</si>
  <si>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</si>
  <si>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</si>
  <si>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</si>
  <si>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</si>
  <si>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</si>
  <si>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</si>
  <si>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</si>
  <si>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</si>
  <si>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</si>
  <si>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</si>
  <si>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</si>
  <si>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</si>
  <si>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</si>
  <si>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</si>
  <si>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</si>
  <si>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</si>
  <si>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</si>
  <si>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</si>
  <si>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</si>
  <si>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</si>
  <si>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</si>
  <si>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</si>
  <si>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</si>
  <si>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</si>
  <si>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</si>
  <si>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</si>
  <si>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</si>
  <si>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</si>
  <si>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</si>
  <si>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</si>
  <si>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</si>
  <si>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</si>
  <si>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</si>
  <si>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</si>
  <si>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</si>
  <si>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</si>
  <si>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</si>
  <si>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</si>
  <si>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</si>
  <si>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</si>
  <si>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</si>
  <si>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</si>
  <si>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</si>
  <si>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</si>
  <si>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</si>
  <si>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</si>
  <si>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</si>
  <si>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</si>
  <si>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</si>
  <si>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</si>
  <si>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</si>
  <si>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</si>
  <si>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</si>
  <si>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</si>
  <si>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</si>
  <si>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</si>
  <si>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</si>
  <si>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</si>
  <si>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</si>
  <si>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</si>
  <si>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</si>
  <si>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</si>
  <si>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</si>
  <si>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</si>
  <si>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</si>
  <si>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</si>
  <si>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</si>
  <si>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</si>
  <si>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</si>
  <si>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</si>
  <si>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</si>
  <si>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</si>
  <si>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</si>
  <si>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</si>
  <si>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</si>
  <si>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</si>
  <si>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</si>
  <si>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</si>
  <si>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</si>
  <si>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</si>
  <si>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</si>
  <si>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</si>
  <si>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</si>
  <si>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</si>
  <si>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</si>
  <si>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</si>
  <si>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</si>
  <si>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</si>
  <si>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</si>
  <si>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</si>
  <si>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</si>
  <si>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</si>
  <si>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</si>
  <si>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</si>
  <si>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</si>
  <si>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</si>
  <si>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</si>
  <si>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</si>
  <si>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</si>
  <si>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</si>
  <si>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</si>
  <si>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</si>
  <si>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</si>
  <si>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</si>
  <si>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</si>
  <si>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</si>
  <si>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</si>
  <si>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</si>
  <si>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</si>
  <si>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</si>
  <si>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</si>
  <si>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</si>
  <si>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</si>
  <si>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</si>
  <si>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</si>
  <si>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</si>
  <si>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</si>
  <si>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</si>
  <si>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</si>
  <si>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</si>
  <si>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</si>
  <si>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</si>
  <si>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</si>
  <si>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</si>
  <si>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</si>
  <si>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</si>
  <si>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</si>
  <si>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</si>
  <si>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</si>
  <si>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</si>
  <si>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</si>
  <si>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</si>
  <si>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</si>
  <si>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</si>
  <si>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</si>
  <si>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</si>
  <si>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</si>
  <si>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</si>
  <si>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</si>
  <si>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</si>
  <si>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</si>
  <si>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</si>
  <si>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</si>
  <si>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</si>
  <si>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</si>
  <si>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</si>
  <si>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</si>
  <si>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</si>
  <si>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</si>
  <si>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</si>
  <si>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</si>
  <si>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</si>
  <si>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</si>
  <si>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</si>
  <si>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</si>
  <si>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</si>
  <si>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</si>
  <si>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</si>
  <si>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</si>
  <si>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</si>
  <si>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</si>
  <si>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</si>
  <si>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</si>
  <si>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</si>
  <si>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</si>
  <si>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</si>
  <si>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</si>
  <si>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</si>
  <si>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</si>
  <si>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</si>
  <si>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</si>
  <si>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</si>
  <si>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</si>
  <si>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</si>
  <si>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</si>
  <si>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</si>
  <si>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</si>
  <si>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</si>
  <si>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</si>
  <si>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</si>
  <si>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</si>
  <si>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</si>
  <si>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</si>
  <si>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</si>
  <si>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</si>
  <si>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</si>
  <si>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</si>
  <si>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</si>
  <si>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</si>
  <si>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</si>
  <si>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</si>
  <si>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</si>
  <si>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</si>
  <si>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</si>
  <si>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</si>
  <si>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</si>
  <si>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</si>
  <si>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</si>
  <si>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</si>
  <si>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</si>
  <si>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</si>
  <si>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</si>
  <si>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</si>
  <si>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</si>
  <si>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</si>
  <si>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</si>
  <si>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</si>
  <si>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</si>
  <si>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</si>
  <si>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</si>
  <si>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</si>
  <si>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</si>
  <si>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</si>
  <si>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</si>
  <si>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</si>
  <si>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</si>
  <si>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</si>
  <si>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</si>
  <si>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</si>
  <si>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</si>
  <si>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</si>
  <si>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</si>
  <si>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</si>
  <si>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</si>
  <si>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</si>
  <si>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</si>
  <si>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</si>
  <si>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</si>
  <si>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</si>
  <si>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</si>
  <si>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</si>
  <si>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</si>
  <si>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</si>
  <si>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</si>
  <si>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</si>
  <si>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</si>
  <si>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</si>
  <si>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</si>
  <si>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</si>
  <si>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</si>
  <si>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</si>
  <si>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</si>
  <si>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</si>
  <si>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</si>
  <si>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</si>
  <si>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</si>
  <si>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</si>
  <si>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</si>
  <si>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</si>
  <si>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</si>
  <si>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</si>
  <si>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</si>
  <si>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</si>
  <si>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</si>
  <si>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</si>
  <si>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</si>
  <si>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</si>
  <si>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</si>
  <si>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</si>
  <si>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</si>
  <si>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</si>
  <si>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</si>
  <si>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</si>
  <si>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</si>
  <si>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</si>
  <si>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</si>
  <si>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</si>
  <si>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</si>
  <si>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</si>
  <si>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</si>
  <si>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</si>
  <si>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</si>
  <si>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</si>
  <si>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</si>
  <si>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</si>
  <si>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</si>
  <si>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</si>
  <si>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</si>
  <si>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</si>
  <si>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</si>
  <si>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</si>
  <si>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</si>
  <si>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</si>
  <si>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</si>
  <si>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</si>
  <si>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</si>
  <si>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</si>
  <si>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</si>
  <si>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</si>
  <si>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</si>
  <si>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</si>
  <si>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</si>
  <si>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</si>
  <si>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</si>
  <si>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</si>
  <si>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</si>
  <si>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</si>
  <si>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1,1,2</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</si>
  <si>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</si>
  <si>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</si>
  <si>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</si>
  <si>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</si>
  <si>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</si>
  <si>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</si>
  <si>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</si>
  <si>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</si>
  <si>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</si>
  <si>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</si>
  <si>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</si>
  <si>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</si>
  <si>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</si>
  <si>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</si>
  <si>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</si>
  <si>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</si>
  <si>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</si>
  <si>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</si>
  <si>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</si>
  <si>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</si>
  <si>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</si>
  <si>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</si>
  <si>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</si>
  <si>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</si>
  <si>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</si>
  <si>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</si>
  <si>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</si>
  <si>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</si>
  <si>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</si>
  <si>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</si>
  <si>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</si>
  <si>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</si>
  <si>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</si>
  <si>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</si>
  <si>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</si>
  <si>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</si>
  <si>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</si>
  <si>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</si>
  <si>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</si>
  <si>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</si>
  <si>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</si>
  <si>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</si>
  <si>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</si>
  <si>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</si>
  <si>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</si>
  <si>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</si>
  <si>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</si>
  <si>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</si>
  <si>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</si>
  <si>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</si>
  <si>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</si>
  <si>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</si>
  <si>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</si>
  <si>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</si>
  <si>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</si>
  <si>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</si>
  <si>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</si>
  <si>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</si>
  <si>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</si>
  <si>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</si>
  <si>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</si>
  <si>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</si>
  <si>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</si>
  <si>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</si>
  <si>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</si>
  <si>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</si>
  <si>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</si>
  <si>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</si>
  <si>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</si>
  <si>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</si>
  <si>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</si>
  <si>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</si>
  <si>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</si>
  <si>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</si>
  <si>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</si>
  <si>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</si>
  <si>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</si>
  <si>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</si>
  <si>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</si>
  <si>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</si>
  <si>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</si>
  <si>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</si>
  <si>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</si>
  <si>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</si>
  <si>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</si>
  <si>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</si>
  <si>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</si>
  <si>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</si>
  <si>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</si>
  <si>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</si>
  <si>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</si>
  <si>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</si>
  <si>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</si>
  <si>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</si>
  <si>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1,1,3</t>
  </si>
  <si>
    <t>2,2,4</t>
  </si>
  <si>
    <t>2,2,5</t>
  </si>
  <si>
    <t>3,3,4</t>
  </si>
  <si>
    <t>3,3,5</t>
  </si>
  <si>
    <t>3,3,6</t>
  </si>
  <si>
    <t>4,4,5</t>
  </si>
  <si>
    <t>4,4,6</t>
  </si>
  <si>
    <t>4,4,7</t>
  </si>
  <si>
    <t>4,4,8</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</si>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</sst>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X225"/>
  <sheetViews>
    <sheetView tabSelected="1" workbookViewId="0">
      <pane xSplit="1" ySplit="1" topLeftCell="J185" activePane="bottomRight" state="frozenSplit"/>
      <selection pane="topRight" activeCell="B1" sqref="B1"/>
      <selection pane="bottomLeft" activeCell="A2" sqref="A2"/>
      <selection pane="bottomRight" activeCell="AD204" sqref="AD204"/>
    </sheetView>
  </sheetViews>
  <sheetFormatPr defaultRowHeight="15" x14ac:dyDescent="0.25"/>
  <cols>
    <col min="1" max="1" width="37.140625" bestFit="1" customWidth="1"/>
    <col min="2" max="2" width="24.7109375" bestFit="1" customWidth="1"/>
    <col min="3" max="3" width="13.28515625" bestFit="1" customWidth="1"/>
    <col min="4" max="4" width="11" customWidth="1"/>
    <col min="5" max="5" width="13.42578125" bestFit="1" customWidth="1"/>
    <col min="10" max="10" width="10.85546875" bestFit="1" customWidth="1"/>
    <col min="11" max="11" width="10.85546875" style="9" customWidth="1"/>
    <col min="12" max="12" width="5.140625" style="6" bestFit="1" customWidth="1"/>
    <col min="13" max="13" width="7.28515625" style="6" bestFit="1" customWidth="1"/>
    <col min="14" max="14" width="5.5703125" style="6" bestFit="1" customWidth="1"/>
    <col min="15" max="15" width="10" style="6" bestFit="1" customWidth="1"/>
    <col min="16" max="16" width="4.5703125" style="6" bestFit="1" customWidth="1"/>
    <col min="17" max="17" width="8.7109375" style="6" bestFit="1" customWidth="1"/>
    <col min="18" max="18" width="7.7109375" style="6" customWidth="1"/>
    <col min="19" max="19" width="10" bestFit="1" customWidth="1"/>
    <col min="20" max="20" width="10" style="9" customWidth="1"/>
    <col min="21" max="21" width="13.28515625"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0" max="30" width="9.140625" style="11"/>
    <col min="31" max="31" width="10.28515625" bestFit="1" customWidth="1"/>
    <col min="32" max="32" width="10.28515625" customWidth="1"/>
    <col min="33" max="33" width="26.85546875" customWidth="1"/>
    <col min="34" max="34" width="18.42578125" bestFit="1" customWidth="1"/>
    <col min="35" max="35" width="18.42578125" style="13" customWidth="1"/>
    <col min="36" max="37" width="17" customWidth="1"/>
    <col min="38" max="38" width="11.85546875" bestFit="1" customWidth="1"/>
    <col min="39" max="39" width="13.140625" bestFit="1" customWidth="1"/>
    <col min="40" max="40" width="9.42578125" bestFit="1" customWidth="1"/>
    <col min="48" max="48" width="15.7109375" bestFit="1" customWidth="1"/>
    <col min="49" max="49" width="21.7109375" bestFit="1" customWidth="1"/>
  </cols>
  <sheetData>
    <row r="1" spans="1:50" s="1" customFormat="1" x14ac:dyDescent="0.25">
      <c r="A1" s="1" t="s">
        <v>167</v>
      </c>
      <c r="B1" s="1" t="s">
        <v>168</v>
      </c>
      <c r="C1" s="1" t="s">
        <v>166</v>
      </c>
      <c r="D1" s="1" t="s">
        <v>331</v>
      </c>
      <c r="E1" s="1" t="s">
        <v>334</v>
      </c>
      <c r="F1" s="1" t="s">
        <v>170</v>
      </c>
      <c r="G1" s="1" t="s">
        <v>171</v>
      </c>
      <c r="H1" s="1" t="s">
        <v>172</v>
      </c>
      <c r="I1" s="1" t="s">
        <v>173</v>
      </c>
      <c r="J1" s="1" t="s">
        <v>174</v>
      </c>
      <c r="K1" s="8" t="s">
        <v>620</v>
      </c>
      <c r="L1" s="5" t="s">
        <v>437</v>
      </c>
      <c r="M1" s="5" t="s">
        <v>434</v>
      </c>
      <c r="N1" s="5" t="s">
        <v>435</v>
      </c>
      <c r="O1" s="5" t="s">
        <v>432</v>
      </c>
      <c r="P1" s="5" t="s">
        <v>433</v>
      </c>
      <c r="Q1" s="5" t="s">
        <v>438</v>
      </c>
      <c r="R1" s="5" t="s">
        <v>436</v>
      </c>
      <c r="S1" s="1" t="s">
        <v>175</v>
      </c>
      <c r="T1" s="8" t="s">
        <v>176</v>
      </c>
      <c r="U1" s="1" t="s">
        <v>337</v>
      </c>
      <c r="V1" s="1" t="s">
        <v>177</v>
      </c>
      <c r="W1" s="3" t="s">
        <v>325</v>
      </c>
      <c r="X1" s="1" t="s">
        <v>178</v>
      </c>
      <c r="Y1" s="1" t="s">
        <v>442</v>
      </c>
      <c r="Z1" s="1" t="s">
        <v>179</v>
      </c>
      <c r="AA1" s="1" t="s">
        <v>346</v>
      </c>
      <c r="AB1" s="1" t="s">
        <v>304</v>
      </c>
      <c r="AC1" s="1" t="s">
        <v>180</v>
      </c>
      <c r="AD1" s="10" t="s">
        <v>324</v>
      </c>
      <c r="AE1" s="1" t="s">
        <v>169</v>
      </c>
      <c r="AF1" s="1" t="s">
        <v>329</v>
      </c>
      <c r="AG1" s="1" t="s">
        <v>352</v>
      </c>
      <c r="AH1" s="1" t="s">
        <v>305</v>
      </c>
      <c r="AI1" s="12" t="s">
        <v>775</v>
      </c>
      <c r="AJ1" s="1" t="s">
        <v>472</v>
      </c>
      <c r="AK1" s="1" t="s">
        <v>631</v>
      </c>
      <c r="AL1" s="1" t="s">
        <v>473</v>
      </c>
      <c r="AM1" s="1" t="s">
        <v>556</v>
      </c>
      <c r="AN1" s="1" t="s">
        <v>330</v>
      </c>
      <c r="AO1" s="1" t="s">
        <v>338</v>
      </c>
      <c r="AP1" s="1" t="s">
        <v>339</v>
      </c>
      <c r="AQ1" s="1" t="s">
        <v>369</v>
      </c>
      <c r="AR1" s="1" t="s">
        <v>645</v>
      </c>
      <c r="AS1" s="1" t="s">
        <v>750</v>
      </c>
      <c r="AT1" s="1" t="s">
        <v>343</v>
      </c>
      <c r="AU1" s="1" t="s">
        <v>385</v>
      </c>
      <c r="AV1" s="1" t="s">
        <v>406</v>
      </c>
      <c r="AW1" s="1" t="s">
        <v>408</v>
      </c>
      <c r="AX1" s="1" t="s">
        <v>409</v>
      </c>
    </row>
    <row r="2" spans="1:50" x14ac:dyDescent="0.25">
      <c r="A2" t="s">
        <v>142</v>
      </c>
      <c r="B2" t="s">
        <v>316</v>
      </c>
      <c r="C2" t="s">
        <v>342</v>
      </c>
      <c r="E2" t="s">
        <v>364</v>
      </c>
      <c r="F2">
        <v>1800</v>
      </c>
      <c r="S2">
        <v>5</v>
      </c>
      <c r="U2">
        <v>5</v>
      </c>
      <c r="W2" s="4" t="str">
        <f t="shared" ref="W2:W65" si="0">IF(AND(S2&gt;0,V2&gt;0),(V2/((S2+T2)*10)),"")</f>
        <v/>
      </c>
      <c r="X2">
        <v>35</v>
      </c>
      <c r="Z2">
        <v>4.9000000000000004</v>
      </c>
      <c r="AA2">
        <v>6</v>
      </c>
      <c r="AD2" s="11">
        <v>15</v>
      </c>
      <c r="AE2" t="str">
        <f>CONCATENATE(VLOOKUP(AF2, 'Voxel Sizes'!$A$2:$B$18,2,FALSE),"x",INT(AB2*15), "x", INT(AC2*15))</f>
        <v>60x0x0</v>
      </c>
      <c r="AF2">
        <f t="shared" ref="AF2:AF65" si="1">ROUND(15*((AA2*10)/256),0)</f>
        <v>4</v>
      </c>
      <c r="AH2" t="str">
        <f>CONCATENATE(VLOOKUP(AF2,'Articulated Lengths'!$A$2:$C$16,IF(AG2&lt;&gt;"", 3, 2), FALSE),IF(AG2&lt;&gt;"",CONCATENATE(",",VLOOKUP(AG2,$B$2:$AH$219,33,FALSE)),""))</f>
        <v>1,1,2</v>
      </c>
      <c r="AO2">
        <v>10</v>
      </c>
      <c r="AP2">
        <v>10</v>
      </c>
      <c r="AT2" t="s">
        <v>347</v>
      </c>
      <c r="AU2" t="str">
        <f>VLOOKUP(F2,Eras!$A$2:$C$10, 2, TRUE)</f>
        <v>early</v>
      </c>
      <c r="AV2" t="s">
        <v>402</v>
      </c>
      <c r="AW2" t="str">
        <f t="shared" ref="AW2:AW65" si="2">CONCATENATE(AU2,"_",AV2)</f>
        <v>early_Open Wagon</v>
      </c>
      <c r="AX2" t="s">
        <v>426</v>
      </c>
    </row>
    <row r="3" spans="1:50" x14ac:dyDescent="0.25">
      <c r="A3" t="s">
        <v>163</v>
      </c>
      <c r="B3" t="s">
        <v>267</v>
      </c>
      <c r="C3" t="s">
        <v>181</v>
      </c>
      <c r="E3" t="s">
        <v>336</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FALSE),IF(AG3&lt;&gt;"",CONCATENATE(",",VLOOKUP(AG3,$B$2:$AH$219,33,FALSE)),""))</f>
        <v>na</v>
      </c>
      <c r="AO3">
        <v>10</v>
      </c>
      <c r="AP3">
        <v>10</v>
      </c>
      <c r="AU3" t="str">
        <f>VLOOKUP(F3,Eras!$A$2:$C$10, 2, TRUE)</f>
        <v>early</v>
      </c>
      <c r="AV3" t="s">
        <v>389</v>
      </c>
      <c r="AW3" t="str">
        <f t="shared" si="2"/>
        <v>early_Mixed Traffic</v>
      </c>
    </row>
    <row r="4" spans="1:50" x14ac:dyDescent="0.25">
      <c r="A4" t="s">
        <v>0</v>
      </c>
      <c r="B4" t="s">
        <v>182</v>
      </c>
      <c r="C4" t="s">
        <v>181</v>
      </c>
      <c r="E4" t="s">
        <v>335</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FALSE),IF(AG4&lt;&gt;"",CONCATENATE(",",VLOOKUP(AG4,$B$2:$AH$219,33,FALSE)),""))</f>
        <v>na</v>
      </c>
      <c r="AO4">
        <v>10</v>
      </c>
      <c r="AP4">
        <v>10</v>
      </c>
      <c r="AU4" t="str">
        <f>VLOOKUP(F4,Eras!$A$2:$C$10, 2, TRUE)</f>
        <v>early</v>
      </c>
      <c r="AW4" t="str">
        <f t="shared" si="2"/>
        <v>early_</v>
      </c>
    </row>
    <row r="5" spans="1:50" x14ac:dyDescent="0.25">
      <c r="A5" t="s">
        <v>1</v>
      </c>
      <c r="B5" t="s">
        <v>183</v>
      </c>
      <c r="C5" t="s">
        <v>181</v>
      </c>
      <c r="E5" t="s">
        <v>335</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FALSE),IF(AG5&lt;&gt;"",CONCATENATE(",",VLOOKUP(AG5,$B$2:$AH$219,33,FALSE)),""))</f>
        <v>na</v>
      </c>
      <c r="AO5">
        <v>10</v>
      </c>
      <c r="AP5">
        <v>10</v>
      </c>
      <c r="AU5" t="str">
        <f>VLOOKUP(F5,Eras!$A$2:$C$10, 2, TRUE)</f>
        <v>early</v>
      </c>
      <c r="AV5" t="s">
        <v>389</v>
      </c>
      <c r="AW5" t="str">
        <f t="shared" si="2"/>
        <v>early_Mixed Traffic</v>
      </c>
    </row>
    <row r="6" spans="1:50" x14ac:dyDescent="0.25">
      <c r="A6" t="s">
        <v>2</v>
      </c>
      <c r="B6" t="s">
        <v>184</v>
      </c>
      <c r="C6" t="s">
        <v>181</v>
      </c>
      <c r="E6" t="s">
        <v>335</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FALSE),IF(AG6&lt;&gt;"",CONCATENATE(",",VLOOKUP(AG6,$B$2:$AH$219,33,FALSE)),""))</f>
        <v>na</v>
      </c>
      <c r="AO6">
        <v>10</v>
      </c>
      <c r="AP6">
        <v>10</v>
      </c>
      <c r="AU6" t="str">
        <f>VLOOKUP(F6,Eras!$A$2:$C$10, 2, TRUE)</f>
        <v>early</v>
      </c>
      <c r="AV6" t="s">
        <v>389</v>
      </c>
      <c r="AW6" t="str">
        <f t="shared" si="2"/>
        <v>early_Mixed Traffic</v>
      </c>
    </row>
    <row r="7" spans="1:50" x14ac:dyDescent="0.25">
      <c r="A7" t="s">
        <v>155</v>
      </c>
      <c r="B7" t="s">
        <v>268</v>
      </c>
      <c r="C7" t="s">
        <v>181</v>
      </c>
      <c r="E7" t="s">
        <v>335</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FALSE),IF(AG7&lt;&gt;"",CONCATENATE(",",VLOOKUP(AG7,$B$2:$AH$219,33,FALSE)),""))</f>
        <v>na</v>
      </c>
      <c r="AO7">
        <v>10</v>
      </c>
      <c r="AP7">
        <v>10</v>
      </c>
      <c r="AU7" t="str">
        <f>VLOOKUP(F7,Eras!$A$2:$C$10, 2, TRUE)</f>
        <v>early</v>
      </c>
      <c r="AV7" t="s">
        <v>389</v>
      </c>
      <c r="AW7" t="str">
        <f t="shared" si="2"/>
        <v>early_Mixed Traffic</v>
      </c>
    </row>
    <row r="8" spans="1:50" x14ac:dyDescent="0.25">
      <c r="A8" t="s">
        <v>156</v>
      </c>
      <c r="B8" t="s">
        <v>269</v>
      </c>
      <c r="C8" t="s">
        <v>181</v>
      </c>
      <c r="E8" t="s">
        <v>335</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FALSE),IF(AG8&lt;&gt;"",CONCATENATE(",",VLOOKUP(AG8,$B$2:$AH$219,33,FALSE)),""))</f>
        <v>na</v>
      </c>
      <c r="AO8">
        <v>10</v>
      </c>
      <c r="AP8">
        <v>10</v>
      </c>
      <c r="AU8" t="str">
        <f>VLOOKUP(F8,Eras!$A$2:$C$10, 2, TRUE)</f>
        <v>early</v>
      </c>
      <c r="AV8" t="s">
        <v>390</v>
      </c>
      <c r="AW8" t="str">
        <f t="shared" si="2"/>
        <v>early_Express</v>
      </c>
    </row>
    <row r="9" spans="1:50" x14ac:dyDescent="0.25">
      <c r="A9" t="s">
        <v>3</v>
      </c>
      <c r="B9" t="s">
        <v>185</v>
      </c>
      <c r="C9" t="s">
        <v>181</v>
      </c>
      <c r="E9" t="s">
        <v>335</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FALSE),IF(AG9&lt;&gt;"",CONCATENATE(",",VLOOKUP(AG9,$B$2:$AH$219,33,FALSE)),""))</f>
        <v>na</v>
      </c>
      <c r="AO9">
        <v>10</v>
      </c>
      <c r="AP9">
        <v>10</v>
      </c>
      <c r="AU9" t="str">
        <f>VLOOKUP(F9,Eras!$A$2:$C$10, 2, TRUE)</f>
        <v>early</v>
      </c>
      <c r="AW9" t="str">
        <f t="shared" si="2"/>
        <v>early_</v>
      </c>
    </row>
    <row r="10" spans="1:50" x14ac:dyDescent="0.25">
      <c r="A10" t="s">
        <v>6</v>
      </c>
      <c r="B10" t="s">
        <v>270</v>
      </c>
      <c r="C10" t="s">
        <v>181</v>
      </c>
      <c r="E10" t="s">
        <v>335</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FALSE),IF(AG10&lt;&gt;"",CONCATENATE(",",VLOOKUP(AG10,$B$2:$AH$219,33,FALSE)),""))</f>
        <v>1,1,2</v>
      </c>
      <c r="AO10">
        <v>10</v>
      </c>
      <c r="AP10">
        <v>10</v>
      </c>
      <c r="AU10" t="str">
        <f>VLOOKUP(F10,Eras!$A$2:$C$10, 2, TRUE)</f>
        <v>early</v>
      </c>
      <c r="AW10" t="str">
        <f t="shared" si="2"/>
        <v>early_</v>
      </c>
    </row>
    <row r="11" spans="1:50" x14ac:dyDescent="0.25">
      <c r="A11" t="s">
        <v>4</v>
      </c>
      <c r="B11" t="s">
        <v>186</v>
      </c>
      <c r="C11" t="s">
        <v>181</v>
      </c>
      <c r="E11" t="s">
        <v>335</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FALSE),IF(AG11&lt;&gt;"",CONCATENATE(",",VLOOKUP(AG11,$B$2:$AH$219,33,FALSE)),""))</f>
        <v>na</v>
      </c>
      <c r="AO11">
        <v>10</v>
      </c>
      <c r="AP11">
        <v>10</v>
      </c>
      <c r="AU11" t="str">
        <f>VLOOKUP(F11,Eras!$A$2:$C$10, 2, TRUE)</f>
        <v>early</v>
      </c>
      <c r="AW11" t="str">
        <f t="shared" si="2"/>
        <v>early_</v>
      </c>
    </row>
    <row r="12" spans="1:50" x14ac:dyDescent="0.25">
      <c r="A12" t="s">
        <v>5</v>
      </c>
      <c r="B12" t="s">
        <v>187</v>
      </c>
      <c r="C12" t="s">
        <v>181</v>
      </c>
      <c r="E12" t="s">
        <v>335</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FALSE),IF(AG12&lt;&gt;"",CONCATENATE(",",VLOOKUP(AG12,$B$2:$AH$219,33,FALSE)),""))</f>
        <v>na</v>
      </c>
      <c r="AO12">
        <v>10</v>
      </c>
      <c r="AP12">
        <v>10</v>
      </c>
      <c r="AU12" t="str">
        <f>VLOOKUP(F12,Eras!$A$2:$C$10, 2, TRUE)</f>
        <v>vct</v>
      </c>
      <c r="AW12" t="str">
        <f t="shared" si="2"/>
        <v>vct_</v>
      </c>
    </row>
    <row r="13" spans="1:50" x14ac:dyDescent="0.25">
      <c r="A13" t="s">
        <v>7</v>
      </c>
      <c r="B13" t="s">
        <v>271</v>
      </c>
      <c r="C13" t="s">
        <v>181</v>
      </c>
      <c r="E13" t="s">
        <v>335</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FALSE),IF(AG13&lt;&gt;"",CONCATENATE(",",VLOOKUP(AG13,$B$2:$AH$219,33,FALSE)),""))</f>
        <v>na</v>
      </c>
      <c r="AO13">
        <v>10</v>
      </c>
      <c r="AP13">
        <v>10</v>
      </c>
      <c r="AU13" t="str">
        <f>VLOOKUP(F13,Eras!$A$2:$C$10, 2, TRUE)</f>
        <v>vct</v>
      </c>
      <c r="AW13" t="str">
        <f t="shared" si="2"/>
        <v>vct_</v>
      </c>
    </row>
    <row r="14" spans="1:50" x14ac:dyDescent="0.25">
      <c r="A14" t="s">
        <v>138</v>
      </c>
      <c r="B14" t="s">
        <v>340</v>
      </c>
      <c r="C14" t="s">
        <v>342</v>
      </c>
      <c r="E14" t="s">
        <v>335</v>
      </c>
      <c r="F14">
        <v>1862</v>
      </c>
      <c r="S14">
        <v>5</v>
      </c>
      <c r="U14">
        <v>5</v>
      </c>
      <c r="W14" s="4" t="str">
        <f t="shared" si="0"/>
        <v/>
      </c>
      <c r="X14">
        <v>35</v>
      </c>
      <c r="Z14">
        <v>4.9000000000000004</v>
      </c>
      <c r="AA14">
        <v>6</v>
      </c>
      <c r="AD14" s="11">
        <v>15</v>
      </c>
      <c r="AE14" t="str">
        <f>CONCATENATE(VLOOKUP(AF14, 'Voxel Sizes'!$A$2:$B$18,2,FALSE),"x",INT(AB14*15), "x", INT(AC14*15))</f>
        <v>60x0x0</v>
      </c>
      <c r="AF14">
        <f t="shared" si="1"/>
        <v>4</v>
      </c>
      <c r="AH14" t="str">
        <f>CONCATENATE(VLOOKUP(AF14,'Articulated Lengths'!$A$2:$C$16,IF(AG14&lt;&gt;"", 3, 2), FALSE),IF(AG14&lt;&gt;"",CONCATENATE(",",VLOOKUP(AG14,$B$2:$AH$219,33,FALSE)),""))</f>
        <v>1,1,2</v>
      </c>
      <c r="AO14">
        <v>10</v>
      </c>
      <c r="AP14">
        <v>10</v>
      </c>
      <c r="AT14" t="s">
        <v>345</v>
      </c>
      <c r="AU14" t="str">
        <f>VLOOKUP(F14,Eras!$A$2:$C$10, 2, TRUE)</f>
        <v>vct</v>
      </c>
      <c r="AV14" t="s">
        <v>405</v>
      </c>
      <c r="AW14" t="str">
        <f t="shared" si="2"/>
        <v>vct_Tanker</v>
      </c>
      <c r="AX14" t="s">
        <v>425</v>
      </c>
    </row>
    <row r="15" spans="1:50" x14ac:dyDescent="0.25">
      <c r="A15" t="s">
        <v>19</v>
      </c>
      <c r="B15" t="s">
        <v>188</v>
      </c>
      <c r="C15" t="s">
        <v>181</v>
      </c>
      <c r="E15" t="s">
        <v>335</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FALSE),IF(AG15&lt;&gt;"",CONCATENATE(",",VLOOKUP(AG15,$B$2:$AH$219,33,FALSE)),""))</f>
        <v>1,1,3</v>
      </c>
      <c r="AO15">
        <v>10</v>
      </c>
      <c r="AP15">
        <v>10</v>
      </c>
      <c r="AU15" t="str">
        <f>VLOOKUP(F15,Eras!$A$2:$C$10, 2, TRUE)</f>
        <v>vct</v>
      </c>
      <c r="AW15" t="str">
        <f t="shared" si="2"/>
        <v>vct_</v>
      </c>
    </row>
    <row r="16" spans="1:50" x14ac:dyDescent="0.25">
      <c r="A16" t="s">
        <v>42</v>
      </c>
      <c r="B16" t="s">
        <v>272</v>
      </c>
      <c r="C16" t="s">
        <v>181</v>
      </c>
      <c r="E16" t="s">
        <v>335</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FALSE),IF(AG16&lt;&gt;"",CONCATENATE(",",VLOOKUP(AG16,$B$2:$AH$219,33,FALSE)),""))</f>
        <v>1,1,3</v>
      </c>
      <c r="AO16">
        <v>10</v>
      </c>
      <c r="AP16">
        <v>10</v>
      </c>
      <c r="AU16" t="str">
        <f>VLOOKUP(F16,Eras!$A$2:$C$10, 2, TRUE)</f>
        <v>vct</v>
      </c>
      <c r="AW16" t="str">
        <f t="shared" si="2"/>
        <v>vct_</v>
      </c>
    </row>
    <row r="17" spans="1:50" x14ac:dyDescent="0.25">
      <c r="A17" t="s">
        <v>9</v>
      </c>
      <c r="B17" t="s">
        <v>189</v>
      </c>
      <c r="C17" t="s">
        <v>181</v>
      </c>
      <c r="E17" t="s">
        <v>335</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FALSE),IF(AG17&lt;&gt;"",CONCATENATE(",",VLOOKUP(AG17,$B$2:$AH$219,33,FALSE)),""))</f>
        <v>na</v>
      </c>
      <c r="AO17">
        <v>10</v>
      </c>
      <c r="AP17">
        <v>10</v>
      </c>
      <c r="AU17" t="str">
        <f>VLOOKUP(F17,Eras!$A$2:$C$10, 2, TRUE)</f>
        <v>vct</v>
      </c>
      <c r="AW17" t="str">
        <f t="shared" si="2"/>
        <v>vct_</v>
      </c>
    </row>
    <row r="18" spans="1:50" x14ac:dyDescent="0.25">
      <c r="A18" t="s">
        <v>157</v>
      </c>
      <c r="B18" t="s">
        <v>190</v>
      </c>
      <c r="C18" t="s">
        <v>181</v>
      </c>
      <c r="E18" t="s">
        <v>335</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FALSE),IF(AG18&lt;&gt;"",CONCATENATE(",",VLOOKUP(AG18,$B$2:$AH$219,33,FALSE)),""))</f>
        <v>2,2,4</v>
      </c>
      <c r="AO18">
        <v>10</v>
      </c>
      <c r="AP18">
        <v>10</v>
      </c>
      <c r="AU18" t="str">
        <f>VLOOKUP(F18,Eras!$A$2:$C$10, 2, TRUE)</f>
        <v>vct</v>
      </c>
      <c r="AW18" t="str">
        <f t="shared" si="2"/>
        <v>vct_</v>
      </c>
    </row>
    <row r="19" spans="1:50" x14ac:dyDescent="0.25">
      <c r="A19" t="s">
        <v>15</v>
      </c>
      <c r="B19" t="s">
        <v>191</v>
      </c>
      <c r="C19" t="s">
        <v>181</v>
      </c>
      <c r="E19" t="s">
        <v>335</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FALSE),IF(AG19&lt;&gt;"",CONCATENATE(",",VLOOKUP(AG19,$B$2:$AH$219,33,FALSE)),""))</f>
        <v>2,2,5</v>
      </c>
      <c r="AO19">
        <v>10</v>
      </c>
      <c r="AP19">
        <v>10</v>
      </c>
      <c r="AU19" t="str">
        <f>VLOOKUP(F19,Eras!$A$2:$C$10, 2, TRUE)</f>
        <v>vct</v>
      </c>
      <c r="AW19" t="str">
        <f t="shared" si="2"/>
        <v>vct_</v>
      </c>
    </row>
    <row r="20" spans="1:50" x14ac:dyDescent="0.25">
      <c r="A20" t="s">
        <v>8</v>
      </c>
      <c r="B20" t="s">
        <v>192</v>
      </c>
      <c r="C20" t="s">
        <v>181</v>
      </c>
      <c r="E20" t="s">
        <v>335</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FALSE),IF(AG20&lt;&gt;"",CONCATENATE(",",VLOOKUP(AG20,$B$2:$AH$219,33,FALSE)),""))</f>
        <v>na</v>
      </c>
      <c r="AO20">
        <v>10</v>
      </c>
      <c r="AP20">
        <v>10</v>
      </c>
      <c r="AU20" t="str">
        <f>VLOOKUP(F20,Eras!$A$2:$C$10, 2, TRUE)</f>
        <v>vct</v>
      </c>
      <c r="AV20" t="s">
        <v>390</v>
      </c>
      <c r="AW20" t="str">
        <f t="shared" si="2"/>
        <v>vct_Express</v>
      </c>
    </row>
    <row r="21" spans="1:50" x14ac:dyDescent="0.25">
      <c r="A21" t="s">
        <v>17</v>
      </c>
      <c r="B21" t="s">
        <v>301</v>
      </c>
      <c r="C21" t="s">
        <v>181</v>
      </c>
      <c r="E21" t="s">
        <v>335</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FALSE),IF(AG21&lt;&gt;"",CONCATENATE(",",VLOOKUP(AG21,$B$2:$AH$219,33,FALSE)),""))</f>
        <v>na</v>
      </c>
      <c r="AO21">
        <v>10</v>
      </c>
      <c r="AP21">
        <v>10</v>
      </c>
      <c r="AU21" t="str">
        <f>VLOOKUP(F21,Eras!$A$2:$C$10, 2, TRUE)</f>
        <v>vct</v>
      </c>
      <c r="AW21" t="str">
        <f t="shared" si="2"/>
        <v>vct_</v>
      </c>
    </row>
    <row r="22" spans="1:50" x14ac:dyDescent="0.25">
      <c r="A22" t="s">
        <v>165</v>
      </c>
      <c r="B22" t="s">
        <v>193</v>
      </c>
      <c r="C22" t="s">
        <v>181</v>
      </c>
      <c r="E22" t="s">
        <v>335</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FALSE),IF(AG22&lt;&gt;"",CONCATENATE(",",VLOOKUP(AG22,$B$2:$AH$219,33,FALSE)),""))</f>
        <v>2,2,2</v>
      </c>
      <c r="AO22">
        <v>10</v>
      </c>
      <c r="AP22">
        <v>10</v>
      </c>
      <c r="AU22" t="str">
        <f>VLOOKUP(F22,Eras!$A$2:$C$10, 2, TRUE)</f>
        <v>vct</v>
      </c>
      <c r="AW22" t="str">
        <f t="shared" si="2"/>
        <v>vct_</v>
      </c>
    </row>
    <row r="23" spans="1:50" x14ac:dyDescent="0.25">
      <c r="A23" t="s">
        <v>12</v>
      </c>
      <c r="B23" t="s">
        <v>300</v>
      </c>
      <c r="C23" t="s">
        <v>181</v>
      </c>
      <c r="E23" t="s">
        <v>335</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FALSE),IF(AG23&lt;&gt;"",CONCATENATE(",",VLOOKUP(AG23,$B$2:$AH$219,33,FALSE)),""))</f>
        <v>na</v>
      </c>
      <c r="AO23">
        <v>10</v>
      </c>
      <c r="AP23">
        <v>10</v>
      </c>
      <c r="AU23" t="str">
        <f>VLOOKUP(F23,Eras!$A$2:$C$10, 2, TRUE)</f>
        <v>vct</v>
      </c>
      <c r="AW23" t="str">
        <f t="shared" si="2"/>
        <v>vct_</v>
      </c>
    </row>
    <row r="24" spans="1:50" x14ac:dyDescent="0.25">
      <c r="A24" t="s">
        <v>161</v>
      </c>
      <c r="B24" t="s">
        <v>298</v>
      </c>
      <c r="C24" t="s">
        <v>181</v>
      </c>
      <c r="E24" t="s">
        <v>335</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FALSE),IF(AG24&lt;&gt;"",CONCATENATE(",",VLOOKUP(AG24,$B$2:$AH$219,33,FALSE)),""))</f>
        <v>na</v>
      </c>
      <c r="AO24">
        <v>10</v>
      </c>
      <c r="AP24">
        <v>10</v>
      </c>
      <c r="AU24" t="str">
        <f>VLOOKUP(F24,Eras!$A$2:$C$10, 2, TRUE)</f>
        <v>vct</v>
      </c>
      <c r="AW24" t="str">
        <f t="shared" si="2"/>
        <v>vct_</v>
      </c>
    </row>
    <row r="25" spans="1:50" x14ac:dyDescent="0.25">
      <c r="A25" t="s">
        <v>492</v>
      </c>
      <c r="B25" t="s">
        <v>493</v>
      </c>
      <c r="C25" t="s">
        <v>352</v>
      </c>
      <c r="E25" t="s">
        <v>335</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FALSE),IF(AG25&lt;&gt;"",CONCATENATE(",",VLOOKUP(AG25,$B$2:$AH$219,33,FALSE)),""))</f>
        <v>1,1,3</v>
      </c>
      <c r="AO25">
        <v>10</v>
      </c>
      <c r="AP25">
        <v>10</v>
      </c>
      <c r="AU25" t="str">
        <f>VLOOKUP(F25,Eras!$A$2:$C$10, 2, TRUE)</f>
        <v>edw</v>
      </c>
      <c r="AW25" t="str">
        <f t="shared" si="2"/>
        <v>edw_</v>
      </c>
    </row>
    <row r="26" spans="1:50" x14ac:dyDescent="0.25">
      <c r="A26" t="s">
        <v>370</v>
      </c>
      <c r="B26" t="s">
        <v>371</v>
      </c>
      <c r="C26" t="s">
        <v>352</v>
      </c>
      <c r="E26" t="s">
        <v>335</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FALSE),IF(AG26&lt;&gt;"",CONCATENATE(",",VLOOKUP(AG26,$B$2:$AH$219,33,FALSE)),""))</f>
        <v>1,1,3</v>
      </c>
      <c r="AO26">
        <v>10</v>
      </c>
      <c r="AP26">
        <v>10</v>
      </c>
      <c r="AU26" t="str">
        <f>VLOOKUP(F26,Eras!$A$2:$C$10, 2, TRUE)</f>
        <v>edw</v>
      </c>
      <c r="AW26" t="str">
        <f t="shared" si="2"/>
        <v>edw_</v>
      </c>
    </row>
    <row r="27" spans="1:50" x14ac:dyDescent="0.25">
      <c r="A27" t="s">
        <v>460</v>
      </c>
      <c r="B27" t="s">
        <v>461</v>
      </c>
      <c r="C27" t="s">
        <v>352</v>
      </c>
      <c r="E27" t="s">
        <v>335</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FALSE),IF(AG27&lt;&gt;"",CONCATENATE(",",VLOOKUP(AG27,$B$2:$AH$219,33,FALSE)),""))</f>
        <v>1,1,3</v>
      </c>
      <c r="AO27">
        <v>10</v>
      </c>
      <c r="AP27">
        <v>10</v>
      </c>
      <c r="AU27" t="str">
        <f>VLOOKUP(F27,Eras!$A$2:$C$10, 2, TRUE)</f>
        <v>edw</v>
      </c>
      <c r="AW27" t="str">
        <f t="shared" si="2"/>
        <v>edw_</v>
      </c>
    </row>
    <row r="28" spans="1:50" x14ac:dyDescent="0.25">
      <c r="A28" t="s">
        <v>108</v>
      </c>
      <c r="B28" t="s">
        <v>234</v>
      </c>
      <c r="C28" t="s">
        <v>181</v>
      </c>
      <c r="E28" t="s">
        <v>335</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FALSE),IF(AG28&lt;&gt;"",CONCATENATE(",",VLOOKUP(AG28,$B$2:$AH$219,33,FALSE)),""))</f>
        <v>na</v>
      </c>
      <c r="AO28">
        <v>10</v>
      </c>
      <c r="AP28">
        <v>10</v>
      </c>
      <c r="AU28" t="str">
        <f>VLOOKUP(F28,Eras!$A$2:$C$10, 2, TRUE)</f>
        <v>edw</v>
      </c>
      <c r="AV28" t="s">
        <v>407</v>
      </c>
      <c r="AW28" t="str">
        <f t="shared" si="2"/>
        <v>edw_LU</v>
      </c>
    </row>
    <row r="29" spans="1:50" x14ac:dyDescent="0.25">
      <c r="A29" t="s">
        <v>469</v>
      </c>
      <c r="B29" t="s">
        <v>470</v>
      </c>
      <c r="C29" t="s">
        <v>323</v>
      </c>
      <c r="D29" t="s">
        <v>332</v>
      </c>
      <c r="E29" t="s">
        <v>335</v>
      </c>
      <c r="F29">
        <v>1901</v>
      </c>
      <c r="G29">
        <v>1914</v>
      </c>
      <c r="H29">
        <v>1955</v>
      </c>
      <c r="J29">
        <v>350</v>
      </c>
      <c r="L29" s="6">
        <v>14</v>
      </c>
      <c r="M29" s="6">
        <v>20</v>
      </c>
      <c r="N29" s="6">
        <v>2</v>
      </c>
      <c r="O29" s="6">
        <v>160</v>
      </c>
      <c r="P29" s="7">
        <f>((($X29/2)/60)*5280)/($Q29*3.2*PI())</f>
        <v>145.89203116757074</v>
      </c>
      <c r="Q29" s="6">
        <v>0.9</v>
      </c>
      <c r="R29" s="6">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FALSE),IF(AG29&lt;&gt;"",CONCATENATE(",",VLOOKUP(AG29,$B$2:$AH$219,33,FALSE)),""))</f>
        <v>1,1,2</v>
      </c>
      <c r="AN29">
        <v>1</v>
      </c>
      <c r="AO29">
        <v>10</v>
      </c>
      <c r="AP29">
        <v>10</v>
      </c>
      <c r="AU29" t="str">
        <f>VLOOKUP(F29,Eras!$A$2:$C$10, 2, TRUE)</f>
        <v>edw</v>
      </c>
      <c r="AV29" t="s">
        <v>388</v>
      </c>
      <c r="AW29" t="str">
        <f t="shared" si="2"/>
        <v>edw_Cheap</v>
      </c>
      <c r="AX29" t="s">
        <v>471</v>
      </c>
    </row>
    <row r="30" spans="1:50" x14ac:dyDescent="0.25">
      <c r="A30" t="s">
        <v>478</v>
      </c>
      <c r="B30" t="s">
        <v>479</v>
      </c>
      <c r="C30" t="s">
        <v>342</v>
      </c>
      <c r="E30" t="s">
        <v>335</v>
      </c>
      <c r="F30">
        <v>1901</v>
      </c>
      <c r="S30">
        <v>14</v>
      </c>
      <c r="U30">
        <v>5</v>
      </c>
      <c r="W30" s="4" t="str">
        <f t="shared" si="0"/>
        <v/>
      </c>
      <c r="X30">
        <v>55</v>
      </c>
      <c r="Z30">
        <v>8</v>
      </c>
      <c r="AA30">
        <v>8</v>
      </c>
      <c r="AD30" s="11">
        <v>21</v>
      </c>
      <c r="AE30" t="str">
        <f>CONCATENATE(VLOOKUP(AF30, 'Voxel Sizes'!$A$2:$B$18,2,FALSE),"x",INT(AB30*15), "x", INT(AC30*15))</f>
        <v>82x0x0</v>
      </c>
      <c r="AF30">
        <f t="shared" si="1"/>
        <v>5</v>
      </c>
      <c r="AH30" t="str">
        <f>CONCATENATE(VLOOKUP(AF30,'Articulated Lengths'!$A$2:$C$16,IF(AG30&lt;&gt;"", 3, 2), FALSE),IF(AG30&lt;&gt;"",CONCATENATE(",",VLOOKUP(AG30,$B$2:$AH$219,33,FALSE)),""))</f>
        <v>1,1,3</v>
      </c>
      <c r="AO30">
        <v>10</v>
      </c>
      <c r="AP30">
        <v>10</v>
      </c>
      <c r="AT30" t="s">
        <v>345</v>
      </c>
      <c r="AU30" t="str">
        <f>VLOOKUP(F30,Eras!$A$2:$C$10, 2, TRUE)</f>
        <v>edw</v>
      </c>
      <c r="AV30" t="s">
        <v>405</v>
      </c>
      <c r="AW30" t="str">
        <f t="shared" si="2"/>
        <v>edw_Tanker</v>
      </c>
      <c r="AX30" t="s">
        <v>480</v>
      </c>
    </row>
    <row r="31" spans="1:50" x14ac:dyDescent="0.25">
      <c r="A31" t="s">
        <v>16</v>
      </c>
      <c r="B31" t="s">
        <v>299</v>
      </c>
      <c r="C31" t="s">
        <v>323</v>
      </c>
      <c r="D31" t="s">
        <v>332</v>
      </c>
      <c r="E31" t="s">
        <v>335</v>
      </c>
      <c r="F31">
        <v>1902</v>
      </c>
      <c r="J31">
        <v>950</v>
      </c>
      <c r="L31" s="6">
        <v>20.3</v>
      </c>
      <c r="M31" s="6">
        <v>26</v>
      </c>
      <c r="N31" s="6">
        <v>3</v>
      </c>
      <c r="O31" s="6">
        <f>220*0.5</f>
        <v>110</v>
      </c>
      <c r="P31" s="7">
        <f>((($X31/2)/60)*5280)/($Q31*3.2*PI())</f>
        <v>166.73374990579512</v>
      </c>
      <c r="Q31" s="6">
        <v>2.1</v>
      </c>
      <c r="R31" s="6">
        <f>((($L31*$L31/4)*PI())*($M31/12)*$N31*$O31*$P31)/(33000*1.1)</f>
        <v>1062.9305555555557</v>
      </c>
      <c r="S31">
        <v>62</v>
      </c>
      <c r="T31" s="9">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371</v>
      </c>
      <c r="AH31" t="str">
        <f>CONCATENATE(VLOOKUP(AF31,'Articulated Lengths'!$A$2:$C$16,IF(AG31&lt;&gt;"", 3, 2), FALSE),IF(AG31&lt;&gt;"",CONCATENATE(",",VLOOKUP(AG31,$B$2:$AH$219,33,FALSE)),""))</f>
        <v>2,2,2,1,1,3</v>
      </c>
      <c r="AN31">
        <v>1</v>
      </c>
      <c r="AO31">
        <v>10</v>
      </c>
      <c r="AP31">
        <v>10</v>
      </c>
      <c r="AU31" t="str">
        <f>VLOOKUP(F31,Eras!$A$2:$C$10, 2, TRUE)</f>
        <v>edw</v>
      </c>
      <c r="AV31" t="s">
        <v>390</v>
      </c>
      <c r="AW31" t="str">
        <f t="shared" si="2"/>
        <v>edw_Express</v>
      </c>
      <c r="AX31" t="s">
        <v>410</v>
      </c>
    </row>
    <row r="32" spans="1:50" x14ac:dyDescent="0.25">
      <c r="A32" t="s">
        <v>143</v>
      </c>
      <c r="B32" t="s">
        <v>317</v>
      </c>
      <c r="C32" t="s">
        <v>342</v>
      </c>
      <c r="E32" t="s">
        <v>335</v>
      </c>
      <c r="F32">
        <v>1902</v>
      </c>
      <c r="S32">
        <v>8</v>
      </c>
      <c r="U32">
        <v>5</v>
      </c>
      <c r="W32" s="4" t="str">
        <f t="shared" si="0"/>
        <v/>
      </c>
      <c r="X32">
        <v>55</v>
      </c>
      <c r="Z32">
        <v>4.9000000000000004</v>
      </c>
      <c r="AA32">
        <v>6</v>
      </c>
      <c r="AD32" s="11">
        <v>21</v>
      </c>
      <c r="AE32" t="str">
        <f>CONCATENATE(VLOOKUP(AF32, 'Voxel Sizes'!$A$2:$B$18,2,FALSE),"x",INT(AB32*15), "x", INT(AC32*15))</f>
        <v>60x0x0</v>
      </c>
      <c r="AF32">
        <f t="shared" si="1"/>
        <v>4</v>
      </c>
      <c r="AH32" t="str">
        <f>CONCATENATE(VLOOKUP(AF32,'Articulated Lengths'!$A$2:$C$16,IF(AG32&lt;&gt;"", 3, 2), FALSE),IF(AG32&lt;&gt;"",CONCATENATE(",",VLOOKUP(AG32,$B$2:$AH$219,33,FALSE)),""))</f>
        <v>1,1,2</v>
      </c>
      <c r="AO32">
        <v>10</v>
      </c>
      <c r="AP32">
        <v>10</v>
      </c>
      <c r="AT32" t="s">
        <v>347</v>
      </c>
      <c r="AU32" t="str">
        <f>VLOOKUP(F32,Eras!$A$2:$C$10, 2, TRUE)</f>
        <v>edw</v>
      </c>
      <c r="AV32" t="s">
        <v>402</v>
      </c>
      <c r="AW32" t="str">
        <f t="shared" si="2"/>
        <v>edw_Open Wagon</v>
      </c>
      <c r="AX32" t="s">
        <v>427</v>
      </c>
    </row>
    <row r="33" spans="1:50" x14ac:dyDescent="0.25">
      <c r="A33" t="s">
        <v>486</v>
      </c>
      <c r="B33" t="s">
        <v>487</v>
      </c>
      <c r="C33" t="s">
        <v>342</v>
      </c>
      <c r="E33" t="s">
        <v>335</v>
      </c>
      <c r="F33">
        <v>1902</v>
      </c>
      <c r="S33">
        <v>7</v>
      </c>
      <c r="U33">
        <v>5</v>
      </c>
      <c r="W33" s="4" t="str">
        <f t="shared" si="0"/>
        <v/>
      </c>
      <c r="X33">
        <v>60</v>
      </c>
      <c r="Z33">
        <v>8</v>
      </c>
      <c r="AA33">
        <v>8</v>
      </c>
      <c r="AD33" s="11">
        <v>24</v>
      </c>
      <c r="AE33" t="str">
        <f>CONCATENATE(VLOOKUP(AF33, 'Voxel Sizes'!$A$2:$B$18,2,FALSE),"x",INT(AB33*15), "x", INT(AC33*15))</f>
        <v>82x0x0</v>
      </c>
      <c r="AF33">
        <f t="shared" si="1"/>
        <v>5</v>
      </c>
      <c r="AH33" t="str">
        <f>CONCATENATE(VLOOKUP(AF33,'Articulated Lengths'!$A$2:$C$16,IF(AG33&lt;&gt;"", 3, 2), FALSE),IF(AG33&lt;&gt;"",CONCATENATE(",",VLOOKUP(AG33,$B$2:$AH$219,33,FALSE)),""))</f>
        <v>1,1,3</v>
      </c>
      <c r="AO33">
        <v>10</v>
      </c>
      <c r="AP33">
        <v>10</v>
      </c>
      <c r="AT33" t="s">
        <v>347</v>
      </c>
      <c r="AU33" t="str">
        <f>VLOOKUP(F33,Eras!$A$2:$C$10, 2, TRUE)</f>
        <v>edw</v>
      </c>
      <c r="AV33" t="s">
        <v>404</v>
      </c>
      <c r="AW33" t="str">
        <f t="shared" si="2"/>
        <v>edw_Van</v>
      </c>
      <c r="AX33" t="s">
        <v>485</v>
      </c>
    </row>
    <row r="34" spans="1:50" x14ac:dyDescent="0.25">
      <c r="A34" t="s">
        <v>66</v>
      </c>
      <c r="B34" t="s">
        <v>194</v>
      </c>
      <c r="C34" t="s">
        <v>323</v>
      </c>
      <c r="D34" t="s">
        <v>357</v>
      </c>
      <c r="E34" t="s">
        <v>358</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FALSE),IF(AG34&lt;&gt;"",CONCATENATE(",",VLOOKUP(AG34,$B$2:$AH$219,33,FALSE)),""))</f>
        <v>2,2,3</v>
      </c>
      <c r="AO34">
        <v>10</v>
      </c>
      <c r="AP34">
        <v>10</v>
      </c>
      <c r="AU34" t="str">
        <f>VLOOKUP(F34,Eras!$A$2:$C$10, 2, TRUE)</f>
        <v>edw</v>
      </c>
      <c r="AV34" t="s">
        <v>401</v>
      </c>
      <c r="AW34" t="str">
        <f t="shared" si="2"/>
        <v>edw_Freight (Electric)</v>
      </c>
      <c r="AX34" t="s">
        <v>412</v>
      </c>
    </row>
    <row r="35" spans="1:50" x14ac:dyDescent="0.25">
      <c r="A35" t="s">
        <v>162</v>
      </c>
      <c r="B35" t="s">
        <v>195</v>
      </c>
      <c r="C35" t="s">
        <v>323</v>
      </c>
      <c r="D35" t="s">
        <v>333</v>
      </c>
      <c r="E35" t="s">
        <v>335</v>
      </c>
      <c r="F35">
        <v>1903</v>
      </c>
      <c r="J35">
        <v>85</v>
      </c>
      <c r="S35">
        <v>35</v>
      </c>
      <c r="V35">
        <v>45</v>
      </c>
      <c r="W35" s="4">
        <f t="shared" si="0"/>
        <v>0.12857142857142856</v>
      </c>
      <c r="X35">
        <v>40</v>
      </c>
      <c r="Z35">
        <v>16.7</v>
      </c>
      <c r="AA35">
        <v>16.7</v>
      </c>
      <c r="AB35">
        <v>2.59</v>
      </c>
      <c r="AC35">
        <v>3.98</v>
      </c>
      <c r="AD35" s="11">
        <v>48</v>
      </c>
      <c r="AE35" t="str">
        <f>CONCATENATE(VLOOKUP(AF35, 'Voxel Sizes'!$A$2:$B$18,2,FALSE),"x",INT(AB35*15), "x", INT(AC35*15))</f>
        <v>164x38x59</v>
      </c>
      <c r="AF35">
        <f t="shared" si="1"/>
        <v>10</v>
      </c>
      <c r="AH35" t="str">
        <f>CONCATENATE(VLOOKUP(AF35,'Articulated Lengths'!$A$2:$C$16,IF(AG35&lt;&gt;"", 3, 2), FALSE),IF(AG35&lt;&gt;"",CONCATENATE(",",VLOOKUP(AG35,$B$2:$AH$219,33,FALSE)),""))</f>
        <v>3,3,4</v>
      </c>
      <c r="AO35">
        <v>10</v>
      </c>
      <c r="AP35">
        <v>10</v>
      </c>
      <c r="AT35" t="s">
        <v>344</v>
      </c>
      <c r="AU35" t="str">
        <f>VLOOKUP(F35,Eras!$A$2:$C$10, 2, TRUE)</f>
        <v>edw</v>
      </c>
      <c r="AV35" t="s">
        <v>392</v>
      </c>
      <c r="AW35" t="str">
        <f t="shared" si="2"/>
        <v>edw_DMU (Cheap)</v>
      </c>
      <c r="AX35" t="s">
        <v>411</v>
      </c>
    </row>
    <row r="36" spans="1:50" x14ac:dyDescent="0.25">
      <c r="A36" t="s">
        <v>466</v>
      </c>
      <c r="B36" t="s">
        <v>467</v>
      </c>
      <c r="C36" t="s">
        <v>342</v>
      </c>
      <c r="E36" t="s">
        <v>335</v>
      </c>
      <c r="F36">
        <v>1904</v>
      </c>
      <c r="S36">
        <v>34</v>
      </c>
      <c r="U36">
        <v>8</v>
      </c>
      <c r="W36" s="4" t="str">
        <f t="shared" si="0"/>
        <v/>
      </c>
      <c r="X36">
        <v>80</v>
      </c>
      <c r="Z36">
        <v>17.7</v>
      </c>
      <c r="AA36">
        <v>17.7</v>
      </c>
      <c r="AB36">
        <v>2.83</v>
      </c>
      <c r="AC36">
        <v>3.79</v>
      </c>
      <c r="AD36" s="11">
        <v>48</v>
      </c>
      <c r="AE36" t="str">
        <f>CONCATENATE(VLOOKUP(AF36, 'Voxel Sizes'!$A$2:$B$18,2,FALSE),"x",INT(AB36*15), "x", INT(AC36*15))</f>
        <v>164x42x56</v>
      </c>
      <c r="AF36">
        <f t="shared" si="1"/>
        <v>10</v>
      </c>
      <c r="AH36" t="str">
        <f>CONCATENATE(VLOOKUP(AF36,'Articulated Lengths'!$A$2:$C$16,IF(AG36&lt;&gt;"", 3, 2), FALSE),IF(AG36&lt;&gt;"",CONCATENATE(",",VLOOKUP(AG36,$B$2:$AH$219,33,FALSE)),""))</f>
        <v>3,3,4</v>
      </c>
      <c r="AO36">
        <v>10</v>
      </c>
      <c r="AP36">
        <v>10</v>
      </c>
      <c r="AT36" t="s">
        <v>344</v>
      </c>
      <c r="AU36" t="str">
        <f>VLOOKUP(F36,Eras!$A$2:$C$10, 2, TRUE)</f>
        <v>edw</v>
      </c>
      <c r="AV36" t="s">
        <v>397</v>
      </c>
      <c r="AW36" t="str">
        <f t="shared" si="2"/>
        <v>edw_Carriage</v>
      </c>
      <c r="AX36" t="s">
        <v>468</v>
      </c>
    </row>
    <row r="37" spans="1:50" x14ac:dyDescent="0.25">
      <c r="A37" t="s">
        <v>18</v>
      </c>
      <c r="B37" t="s">
        <v>196</v>
      </c>
      <c r="C37" t="s">
        <v>323</v>
      </c>
      <c r="D37" t="s">
        <v>332</v>
      </c>
      <c r="E37" t="s">
        <v>335</v>
      </c>
      <c r="F37">
        <v>1904</v>
      </c>
      <c r="H37">
        <v>1962</v>
      </c>
      <c r="J37">
        <v>730</v>
      </c>
      <c r="L37" s="6">
        <v>18</v>
      </c>
      <c r="M37" s="6">
        <v>26</v>
      </c>
      <c r="N37" s="6">
        <v>2</v>
      </c>
      <c r="O37" s="6">
        <v>160</v>
      </c>
      <c r="P37" s="7">
        <f>((($X37/2)/60)*5280)/($Q37*3.2*PI())</f>
        <v>150.4511571415573</v>
      </c>
      <c r="Q37" s="6">
        <v>1.6</v>
      </c>
      <c r="R37" s="6">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FALSE),IF(AG37&lt;&gt;"",CONCATENATE(",",VLOOKUP(AG37,$B$2:$AH$219,33,FALSE)),""))</f>
        <v>2,2,2</v>
      </c>
      <c r="AN37">
        <v>1</v>
      </c>
      <c r="AO37">
        <v>10</v>
      </c>
      <c r="AP37">
        <v>10</v>
      </c>
      <c r="AU37" t="str">
        <f>VLOOKUP(F37,Eras!$A$2:$C$10, 2, TRUE)</f>
        <v>edw</v>
      </c>
      <c r="AV37" t="s">
        <v>439</v>
      </c>
      <c r="AW37" t="str">
        <f t="shared" si="2"/>
        <v>edw_Passenger</v>
      </c>
      <c r="AX37" t="s">
        <v>431</v>
      </c>
    </row>
    <row r="38" spans="1:50" ht="14.25" customHeight="1" x14ac:dyDescent="0.25">
      <c r="A38" t="s">
        <v>20</v>
      </c>
      <c r="B38" t="s">
        <v>441</v>
      </c>
      <c r="C38" t="s">
        <v>323</v>
      </c>
      <c r="D38" t="s">
        <v>332</v>
      </c>
      <c r="E38" t="s">
        <v>335</v>
      </c>
      <c r="F38">
        <v>1904</v>
      </c>
      <c r="G38">
        <v>1914</v>
      </c>
      <c r="J38">
        <v>850</v>
      </c>
      <c r="L38" s="6">
        <v>17</v>
      </c>
      <c r="M38" s="6">
        <v>24</v>
      </c>
      <c r="N38" s="6">
        <v>2</v>
      </c>
      <c r="O38" s="6">
        <v>180</v>
      </c>
      <c r="P38" s="7">
        <f>((($X38/2)/60)*5280)/($Q38*3.2*PI())</f>
        <v>192.57748114119337</v>
      </c>
      <c r="Q38" s="6">
        <v>1.25</v>
      </c>
      <c r="R38" s="6">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FALSE),IF(AG38&lt;&gt;"",CONCATENATE(",",VLOOKUP(AG38,$B$2:$AH$219,33,FALSE)),""))</f>
        <v>2,2,3</v>
      </c>
      <c r="AN38">
        <v>1</v>
      </c>
      <c r="AO38">
        <v>10</v>
      </c>
      <c r="AP38">
        <v>10</v>
      </c>
      <c r="AU38" t="str">
        <f>VLOOKUP(F38,Eras!$A$2:$C$10, 2, TRUE)</f>
        <v>edw</v>
      </c>
      <c r="AV38" t="s">
        <v>389</v>
      </c>
      <c r="AW38" t="str">
        <f t="shared" si="2"/>
        <v>edw_Mixed Traffic</v>
      </c>
      <c r="AX38" t="s">
        <v>440</v>
      </c>
    </row>
    <row r="39" spans="1:50" x14ac:dyDescent="0.25">
      <c r="A39" t="s">
        <v>481</v>
      </c>
      <c r="B39" t="s">
        <v>482</v>
      </c>
      <c r="C39" t="s">
        <v>342</v>
      </c>
      <c r="E39" t="s">
        <v>335</v>
      </c>
      <c r="F39">
        <v>1906</v>
      </c>
      <c r="S39">
        <v>7</v>
      </c>
      <c r="U39">
        <v>5</v>
      </c>
      <c r="W39" s="4" t="str">
        <f t="shared" si="0"/>
        <v/>
      </c>
      <c r="X39">
        <v>55</v>
      </c>
      <c r="Z39">
        <v>8</v>
      </c>
      <c r="AA39">
        <v>8</v>
      </c>
      <c r="AD39" s="11">
        <v>24</v>
      </c>
      <c r="AE39" t="str">
        <f>CONCATENATE(VLOOKUP(AF39, 'Voxel Sizes'!$A$2:$B$18,2,FALSE),"x",INT(AB39*15), "x", INT(AC39*15))</f>
        <v>82x0x0</v>
      </c>
      <c r="AF39">
        <f t="shared" si="1"/>
        <v>5</v>
      </c>
      <c r="AH39" t="str">
        <f>CONCATENATE(VLOOKUP(AF39,'Articulated Lengths'!$A$2:$C$16,IF(AG39&lt;&gt;"", 3, 2), FALSE),IF(AG39&lt;&gt;"",CONCATENATE(",",VLOOKUP(AG39,$B$2:$AH$219,33,FALSE)),""))</f>
        <v>1,1,3</v>
      </c>
      <c r="AO39">
        <v>10</v>
      </c>
      <c r="AP39">
        <v>10</v>
      </c>
      <c r="AT39" t="s">
        <v>483</v>
      </c>
      <c r="AU39" t="str">
        <f>VLOOKUP(F39,Eras!$A$2:$C$10, 2, TRUE)</f>
        <v>edw</v>
      </c>
      <c r="AV39" t="s">
        <v>403</v>
      </c>
      <c r="AW39" t="str">
        <f t="shared" si="2"/>
        <v>edw_Flat Wagon</v>
      </c>
      <c r="AX39" t="s">
        <v>484</v>
      </c>
    </row>
    <row r="40" spans="1:50" x14ac:dyDescent="0.25">
      <c r="A40" t="s">
        <v>28</v>
      </c>
      <c r="B40" t="s">
        <v>197</v>
      </c>
      <c r="C40" t="s">
        <v>323</v>
      </c>
      <c r="D40" t="s">
        <v>332</v>
      </c>
      <c r="E40" t="s">
        <v>335</v>
      </c>
      <c r="F40">
        <v>1911</v>
      </c>
      <c r="G40">
        <v>1926</v>
      </c>
      <c r="H40">
        <v>1960</v>
      </c>
      <c r="J40">
        <v>850</v>
      </c>
      <c r="L40" s="6">
        <v>20</v>
      </c>
      <c r="M40" s="6">
        <v>26</v>
      </c>
      <c r="N40" s="6">
        <v>2</v>
      </c>
      <c r="O40" s="6">
        <v>180</v>
      </c>
      <c r="P40" s="7">
        <f>((($X40/2)/60)*5280)/($Q40*3.2*PI())</f>
        <v>128.72826279491534</v>
      </c>
      <c r="Q40" s="6">
        <v>1.7</v>
      </c>
      <c r="R40" s="6">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FALSE),IF(AG40&lt;&gt;"",CONCATENATE(",",VLOOKUP(AG40,$B$2:$AH$219,33,FALSE)),""))</f>
        <v>2,2,4</v>
      </c>
      <c r="AN40">
        <v>1</v>
      </c>
      <c r="AO40">
        <v>10</v>
      </c>
      <c r="AP40">
        <v>10</v>
      </c>
      <c r="AU40" t="str">
        <f>VLOOKUP(F40,Eras!$A$2:$C$10, 2, TRUE)</f>
        <v>edw</v>
      </c>
      <c r="AV40" t="s">
        <v>439</v>
      </c>
      <c r="AW40" t="str">
        <f t="shared" si="2"/>
        <v>edw_Passenger</v>
      </c>
      <c r="AX40" t="s">
        <v>443</v>
      </c>
    </row>
    <row r="41" spans="1:50" x14ac:dyDescent="0.25">
      <c r="A41" t="s">
        <v>29</v>
      </c>
      <c r="B41" t="s">
        <v>447</v>
      </c>
      <c r="C41" t="s">
        <v>323</v>
      </c>
      <c r="D41" t="s">
        <v>332</v>
      </c>
      <c r="E41" t="s">
        <v>335</v>
      </c>
      <c r="F41">
        <v>1911</v>
      </c>
      <c r="G41">
        <v>1914</v>
      </c>
      <c r="J41">
        <v>1250</v>
      </c>
      <c r="L41" s="6">
        <v>21</v>
      </c>
      <c r="M41" s="6">
        <v>26</v>
      </c>
      <c r="N41" s="6">
        <v>2</v>
      </c>
      <c r="O41" s="6">
        <v>180</v>
      </c>
      <c r="P41" s="7">
        <f>((($X41/2)/60)*5280)/($Q41*3.2*PI())</f>
        <v>123.28904042329923</v>
      </c>
      <c r="Q41" s="6">
        <v>1.42</v>
      </c>
      <c r="R41" s="6">
        <f>((($L41*$L41/4)*PI())*($M41/12)*$N41*$O41*$P41)/(33000*1.1)</f>
        <v>917.57362355953899</v>
      </c>
      <c r="S41">
        <v>75</v>
      </c>
      <c r="T41" s="9">
        <v>42</v>
      </c>
      <c r="V41">
        <v>139</v>
      </c>
      <c r="W41" s="4">
        <f t="shared" si="0"/>
        <v>0.1188034188034188</v>
      </c>
      <c r="X41">
        <v>40</v>
      </c>
      <c r="Z41">
        <v>18.809999999999999</v>
      </c>
      <c r="AA41">
        <v>11.31</v>
      </c>
      <c r="AE41" t="str">
        <f>CONCATENATE(VLOOKUP(AF41, 'Voxel Sizes'!$A$2:$B$18,2,FALSE),"x",INT(AB41*15), "x", INT(AC41*15))</f>
        <v>120x0x0</v>
      </c>
      <c r="AF41">
        <f t="shared" si="1"/>
        <v>7</v>
      </c>
      <c r="AG41" t="s">
        <v>371</v>
      </c>
      <c r="AH41" t="str">
        <f>CONCATENATE(VLOOKUP(AF41,'Articulated Lengths'!$A$2:$C$16,IF(AG41&lt;&gt;"", 3, 2), FALSE),IF(AG41&lt;&gt;"",CONCATENATE(",",VLOOKUP(AG41,$B$2:$AH$219,33,FALSE)),""))</f>
        <v>2,2,3,1,1,3</v>
      </c>
      <c r="AN41">
        <v>1</v>
      </c>
      <c r="AO41">
        <v>10</v>
      </c>
      <c r="AP41">
        <v>10</v>
      </c>
      <c r="AU41" t="str">
        <f>VLOOKUP(F41,Eras!$A$2:$C$10, 2, TRUE)</f>
        <v>edw</v>
      </c>
      <c r="AV41" t="s">
        <v>391</v>
      </c>
      <c r="AW41" t="str">
        <f t="shared" si="2"/>
        <v>edw_Freight</v>
      </c>
      <c r="AX41" t="s">
        <v>448</v>
      </c>
    </row>
    <row r="42" spans="1:50" x14ac:dyDescent="0.25">
      <c r="A42" t="s">
        <v>454</v>
      </c>
      <c r="B42" t="s">
        <v>459</v>
      </c>
      <c r="C42" t="s">
        <v>323</v>
      </c>
      <c r="D42" t="s">
        <v>332</v>
      </c>
      <c r="E42" t="s">
        <v>335</v>
      </c>
      <c r="F42">
        <v>1912</v>
      </c>
      <c r="J42">
        <v>1050</v>
      </c>
      <c r="L42" s="6">
        <v>20</v>
      </c>
      <c r="M42" s="6">
        <v>26</v>
      </c>
      <c r="N42" s="6">
        <v>2</v>
      </c>
      <c r="O42" s="6">
        <v>180</v>
      </c>
      <c r="P42" s="7">
        <f>((($X42/2)/60)*5280)/($Q42*3.2*PI())</f>
        <v>115.85543651542379</v>
      </c>
      <c r="Q42" s="6">
        <v>1.7</v>
      </c>
      <c r="R42" s="6">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461</v>
      </c>
      <c r="AH42" t="str">
        <f>CONCATENATE(VLOOKUP(AF42,'Articulated Lengths'!$A$2:$C$16,IF(AG42&lt;&gt;"", 3, 2), FALSE),IF(AG42&lt;&gt;"",CONCATENATE(",",VLOOKUP(AG42,$B$2:$AH$219,33,FALSE)),""))</f>
        <v>2,2,2,1,1,3</v>
      </c>
      <c r="AN42">
        <v>1</v>
      </c>
      <c r="AO42">
        <v>10</v>
      </c>
      <c r="AP42">
        <v>10</v>
      </c>
      <c r="AU42" t="str">
        <f>VLOOKUP(F42,Eras!$A$2:$C$10, 2, TRUE)</f>
        <v>edw</v>
      </c>
      <c r="AV42" t="s">
        <v>391</v>
      </c>
      <c r="AW42" t="str">
        <f t="shared" si="2"/>
        <v>edw_Freight</v>
      </c>
      <c r="AX42" t="s">
        <v>453</v>
      </c>
    </row>
    <row r="43" spans="1:50" x14ac:dyDescent="0.25">
      <c r="A43" t="s">
        <v>67</v>
      </c>
      <c r="B43" t="s">
        <v>198</v>
      </c>
      <c r="C43" t="s">
        <v>323</v>
      </c>
      <c r="D43" t="s">
        <v>357</v>
      </c>
      <c r="E43" t="s">
        <v>335</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FALSE),IF(AG43&lt;&gt;"",CONCATENATE(",",VLOOKUP(AG43,$B$2:$AH$219,33,FALSE)),""))</f>
        <v>2,2,3</v>
      </c>
      <c r="AO43">
        <v>10</v>
      </c>
      <c r="AP43">
        <v>10</v>
      </c>
      <c r="AU43" t="str">
        <f>VLOOKUP(F43,Eras!$A$2:$C$10, 2, TRUE)</f>
        <v>edw</v>
      </c>
      <c r="AV43" t="s">
        <v>401</v>
      </c>
      <c r="AW43" t="str">
        <f t="shared" si="2"/>
        <v>edw_Freight (Electric)</v>
      </c>
      <c r="AX43" t="s">
        <v>462</v>
      </c>
    </row>
    <row r="44" spans="1:50" x14ac:dyDescent="0.25">
      <c r="A44" t="s">
        <v>463</v>
      </c>
      <c r="B44" t="s">
        <v>465</v>
      </c>
      <c r="C44" t="s">
        <v>475</v>
      </c>
      <c r="D44" t="s">
        <v>357</v>
      </c>
      <c r="E44" t="s">
        <v>365</v>
      </c>
      <c r="F44">
        <v>1914</v>
      </c>
      <c r="H44">
        <v>1960</v>
      </c>
      <c r="I44">
        <v>3</v>
      </c>
      <c r="J44">
        <v>1000</v>
      </c>
      <c r="S44">
        <v>117</v>
      </c>
      <c r="V44">
        <v>112</v>
      </c>
      <c r="W44" s="4">
        <f t="shared" si="0"/>
        <v>9.5726495726495733E-2</v>
      </c>
      <c r="X44">
        <v>60</v>
      </c>
      <c r="AA44">
        <v>17.7</v>
      </c>
      <c r="AD44" s="11">
        <v>45</v>
      </c>
      <c r="AE44" t="str">
        <f>CONCATENATE(VLOOKUP(AF44, 'Voxel Sizes'!$A$2:$B$18,2,FALSE),"x",INT(AB44*15), "x", INT(AC44*15))</f>
        <v>164x0x0</v>
      </c>
      <c r="AF44">
        <f t="shared" si="1"/>
        <v>10</v>
      </c>
      <c r="AH44" t="str">
        <f>CONCATENATE(VLOOKUP(AF44,'Articulated Lengths'!$A$2:$C$16,IF(AG44&lt;&gt;"", 3, 2), FALSE),IF(AG44&lt;&gt;"",CONCATENATE(",",VLOOKUP(AG44,$B$2:$AH$219,33,FALSE)),""))</f>
        <v>3,3,4</v>
      </c>
      <c r="AJ44" t="s">
        <v>476</v>
      </c>
      <c r="AL44" t="s">
        <v>474</v>
      </c>
      <c r="AO44">
        <v>10</v>
      </c>
      <c r="AP44">
        <v>10</v>
      </c>
      <c r="AT44" t="s">
        <v>344</v>
      </c>
      <c r="AU44" t="str">
        <f>VLOOKUP(F44,Eras!$A$2:$C$10, 2, TRUE)</f>
        <v>edw</v>
      </c>
      <c r="AV44" t="s">
        <v>395</v>
      </c>
      <c r="AW44" t="str">
        <f t="shared" si="2"/>
        <v>edw_EMU</v>
      </c>
      <c r="AX44" t="s">
        <v>464</v>
      </c>
    </row>
    <row r="45" spans="1:50" x14ac:dyDescent="0.25">
      <c r="A45" t="s">
        <v>38</v>
      </c>
      <c r="B45" t="s">
        <v>199</v>
      </c>
      <c r="C45" t="s">
        <v>181</v>
      </c>
      <c r="E45" t="s">
        <v>335</v>
      </c>
      <c r="F45">
        <v>1921</v>
      </c>
      <c r="G45">
        <v>1922</v>
      </c>
      <c r="S45">
        <v>63</v>
      </c>
      <c r="T45" s="9">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FALSE),IF(AG45&lt;&gt;"",CONCATENATE(",",VLOOKUP(AG45,$B$2:$AH$219,33,FALSE)),""))</f>
        <v>na</v>
      </c>
      <c r="AO45">
        <v>10</v>
      </c>
      <c r="AP45">
        <v>10</v>
      </c>
      <c r="AU45" t="str">
        <f>VLOOKUP(F45,Eras!$A$2:$C$10, 2, TRUE)</f>
        <v>edw</v>
      </c>
      <c r="AW45" t="str">
        <f t="shared" si="2"/>
        <v>edw_</v>
      </c>
    </row>
    <row r="46" spans="1:50" x14ac:dyDescent="0.25">
      <c r="A46" t="s">
        <v>24</v>
      </c>
      <c r="B46" t="s">
        <v>200</v>
      </c>
      <c r="C46" t="s">
        <v>181</v>
      </c>
      <c r="E46" t="s">
        <v>335</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FALSE),IF(AG46&lt;&gt;"",CONCATENATE(",",VLOOKUP(AG46,$B$2:$AH$219,33,FALSE)),""))</f>
        <v>na</v>
      </c>
      <c r="AO46">
        <v>10</v>
      </c>
      <c r="AP46">
        <v>10</v>
      </c>
      <c r="AU46" t="str">
        <f>VLOOKUP(F46,Eras!$A$2:$C$10, 2, TRUE)</f>
        <v>edw</v>
      </c>
      <c r="AW46" t="str">
        <f t="shared" si="2"/>
        <v>edw_</v>
      </c>
    </row>
    <row r="47" spans="1:50" x14ac:dyDescent="0.25">
      <c r="A47" t="s">
        <v>139</v>
      </c>
      <c r="B47" t="s">
        <v>341</v>
      </c>
      <c r="C47" t="s">
        <v>181</v>
      </c>
      <c r="E47" t="s">
        <v>335</v>
      </c>
      <c r="F47">
        <v>1923</v>
      </c>
      <c r="S47">
        <v>16</v>
      </c>
      <c r="U47">
        <v>5</v>
      </c>
      <c r="W47" s="4" t="str">
        <f t="shared" si="0"/>
        <v/>
      </c>
      <c r="X47">
        <v>60</v>
      </c>
      <c r="Z47">
        <v>8</v>
      </c>
      <c r="AA47">
        <v>8</v>
      </c>
      <c r="AD47" s="11">
        <v>24</v>
      </c>
      <c r="AE47" t="str">
        <f>CONCATENATE(VLOOKUP(AF47, 'Voxel Sizes'!$A$2:$B$18,2,FALSE),"x",INT(AB47*15), "x", INT(AC47*15))</f>
        <v>82x0x0</v>
      </c>
      <c r="AF47">
        <f t="shared" si="1"/>
        <v>5</v>
      </c>
      <c r="AH47" t="str">
        <f>CONCATENATE(VLOOKUP(AF47,'Articulated Lengths'!$A$2:$C$16,IF(AG47&lt;&gt;"", 3, 2), FALSE),IF(AG47&lt;&gt;"",CONCATENATE(",",VLOOKUP(AG47,$B$2:$AH$219,33,FALSE)),""))</f>
        <v>1,1,3</v>
      </c>
      <c r="AO47">
        <v>10</v>
      </c>
      <c r="AP47">
        <v>10</v>
      </c>
      <c r="AT47" t="s">
        <v>345</v>
      </c>
      <c r="AU47" t="str">
        <f>VLOOKUP(F47,Eras!$A$2:$C$10, 2, TRUE)</f>
        <v>big4</v>
      </c>
      <c r="AV47" t="s">
        <v>405</v>
      </c>
      <c r="AW47" t="str">
        <f t="shared" si="2"/>
        <v>big4_Tanker</v>
      </c>
      <c r="AX47" t="s">
        <v>477</v>
      </c>
    </row>
    <row r="48" spans="1:50" x14ac:dyDescent="0.25">
      <c r="A48" t="s">
        <v>11</v>
      </c>
      <c r="B48" t="s">
        <v>201</v>
      </c>
      <c r="C48" t="s">
        <v>323</v>
      </c>
      <c r="D48" t="s">
        <v>332</v>
      </c>
      <c r="E48" t="s">
        <v>335</v>
      </c>
      <c r="F48">
        <v>1923</v>
      </c>
      <c r="H48">
        <v>1966</v>
      </c>
      <c r="J48">
        <v>950</v>
      </c>
      <c r="L48" s="6">
        <v>20</v>
      </c>
      <c r="M48" s="6">
        <v>26</v>
      </c>
      <c r="N48" s="6">
        <v>2</v>
      </c>
      <c r="O48" s="6">
        <v>175</v>
      </c>
      <c r="P48" s="7">
        <f>((($X48/2)/60)*5280)/($Q48*3.2*PI())</f>
        <v>150.4511571415573</v>
      </c>
      <c r="Q48" s="6">
        <v>1.6</v>
      </c>
      <c r="R48" s="6">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371</v>
      </c>
      <c r="AH48" t="str">
        <f>CONCATENATE(VLOOKUP(AF48,'Articulated Lengths'!$A$2:$C$16,IF(AG48&lt;&gt;"", 3, 2), FALSE),IF(AG48&lt;&gt;"",CONCATENATE(",",VLOOKUP(AG48,$B$2:$AH$219,33,FALSE)),""))</f>
        <v>2,2,2,1,1,3</v>
      </c>
      <c r="AN48">
        <v>1</v>
      </c>
      <c r="AO48">
        <v>10</v>
      </c>
      <c r="AP48">
        <v>10</v>
      </c>
      <c r="AU48" t="str">
        <f>VLOOKUP(F48,Eras!$A$2:$C$10, 2, TRUE)</f>
        <v>big4</v>
      </c>
      <c r="AV48" t="s">
        <v>389</v>
      </c>
      <c r="AW48" t="str">
        <f t="shared" si="2"/>
        <v>big4_Mixed Traffic</v>
      </c>
      <c r="AX48" t="s">
        <v>489</v>
      </c>
    </row>
    <row r="49" spans="1:50" x14ac:dyDescent="0.25">
      <c r="A49" t="s">
        <v>490</v>
      </c>
      <c r="B49" t="s">
        <v>491</v>
      </c>
      <c r="C49" t="s">
        <v>323</v>
      </c>
      <c r="D49" t="s">
        <v>332</v>
      </c>
      <c r="E49" t="s">
        <v>335</v>
      </c>
      <c r="F49">
        <v>1923</v>
      </c>
      <c r="G49">
        <v>1950</v>
      </c>
      <c r="H49">
        <v>1950</v>
      </c>
      <c r="J49">
        <v>1900</v>
      </c>
      <c r="L49" s="6">
        <v>16</v>
      </c>
      <c r="M49" s="6">
        <v>26</v>
      </c>
      <c r="N49" s="6">
        <v>4</v>
      </c>
      <c r="O49" s="6">
        <v>225</v>
      </c>
      <c r="P49" s="7">
        <f>((($X49/2)/60)*5280)/($Q49*3.2*PI())</f>
        <v>223.21480768638321</v>
      </c>
      <c r="Q49" s="6">
        <v>2</v>
      </c>
      <c r="R49" s="6">
        <f>((($L49*$L49/4)*PI())*($M49/12)*$N49*$O49*$P49)/(33000*1.1)</f>
        <v>2410.9090909090905</v>
      </c>
      <c r="S49">
        <v>81.099999999999994</v>
      </c>
      <c r="T49" s="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493</v>
      </c>
      <c r="AH49" t="str">
        <f>CONCATENATE(VLOOKUP(AF49,'Articulated Lengths'!$A$2:$C$16,IF(AG49&lt;&gt;"", 3, 2), FALSE),IF(AG49&lt;&gt;"",CONCATENATE(",",VLOOKUP(AG49,$B$2:$AH$219,33,FALSE)),""))</f>
        <v>2,2,3,1,1,3</v>
      </c>
      <c r="AN49">
        <v>1</v>
      </c>
      <c r="AO49">
        <v>10</v>
      </c>
      <c r="AP49">
        <v>10</v>
      </c>
      <c r="AU49" t="str">
        <f>VLOOKUP(F49,Eras!$A$2:$C$10, 2, TRUE)</f>
        <v>big4</v>
      </c>
      <c r="AV49" t="s">
        <v>390</v>
      </c>
      <c r="AW49" t="str">
        <f t="shared" si="2"/>
        <v>big4_Express</v>
      </c>
      <c r="AX49" t="s">
        <v>494</v>
      </c>
    </row>
    <row r="50" spans="1:50" x14ac:dyDescent="0.25">
      <c r="A50" t="s">
        <v>10</v>
      </c>
      <c r="B50" t="s">
        <v>202</v>
      </c>
      <c r="C50" t="s">
        <v>323</v>
      </c>
      <c r="D50" t="s">
        <v>332</v>
      </c>
      <c r="E50" t="s">
        <v>335</v>
      </c>
      <c r="F50">
        <v>1924</v>
      </c>
      <c r="J50">
        <v>650</v>
      </c>
      <c r="L50" s="6">
        <v>18</v>
      </c>
      <c r="M50" s="6">
        <v>26</v>
      </c>
      <c r="N50" s="6">
        <v>2</v>
      </c>
      <c r="O50" s="6">
        <v>160</v>
      </c>
      <c r="P50" s="7">
        <f>((($X50/2)/60)*5280)/($Q50*3.2*PI())</f>
        <v>140.68160148301465</v>
      </c>
      <c r="Q50" s="6">
        <v>1.4</v>
      </c>
      <c r="R50" s="6">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FALSE),IF(AG50&lt;&gt;"",CONCATENATE(",",VLOOKUP(AG50,$B$2:$AH$219,33,FALSE)),""))</f>
        <v>2,2,2</v>
      </c>
      <c r="AN50">
        <v>1</v>
      </c>
      <c r="AO50">
        <v>10</v>
      </c>
      <c r="AP50">
        <v>10</v>
      </c>
      <c r="AU50" t="str">
        <f>VLOOKUP(F50,Eras!$A$2:$C$10, 2, TRUE)</f>
        <v>big4</v>
      </c>
      <c r="AV50" t="s">
        <v>388</v>
      </c>
      <c r="AW50" t="str">
        <f t="shared" si="2"/>
        <v>big4_Cheap</v>
      </c>
      <c r="AX50" t="s">
        <v>413</v>
      </c>
    </row>
    <row r="51" spans="1:50" x14ac:dyDescent="0.25">
      <c r="A51" t="s">
        <v>21</v>
      </c>
      <c r="B51" t="s">
        <v>203</v>
      </c>
      <c r="C51" t="s">
        <v>323</v>
      </c>
      <c r="D51" t="s">
        <v>332</v>
      </c>
      <c r="E51" t="s">
        <v>335</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FALSE),IF(AG51&lt;&gt;"",CONCATENATE(",",VLOOKUP(AG51,$B$2:$AH$219,33,FALSE)),""))</f>
        <v>2,2,3</v>
      </c>
      <c r="AN51">
        <v>1</v>
      </c>
      <c r="AO51">
        <v>10</v>
      </c>
      <c r="AP51">
        <v>10</v>
      </c>
      <c r="AU51" t="str">
        <f>VLOOKUP(F51,Eras!$A$2:$C$10, 2, TRUE)</f>
        <v>big4</v>
      </c>
      <c r="AV51" t="s">
        <v>389</v>
      </c>
      <c r="AW51" t="str">
        <f t="shared" si="2"/>
        <v>big4_Mixed Traffic</v>
      </c>
      <c r="AX51" t="s">
        <v>414</v>
      </c>
    </row>
    <row r="52" spans="1:50" x14ac:dyDescent="0.25">
      <c r="A52" t="s">
        <v>512</v>
      </c>
      <c r="B52" t="s">
        <v>513</v>
      </c>
      <c r="C52" t="s">
        <v>352</v>
      </c>
      <c r="E52" t="s">
        <v>335</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FALSE),IF(AG52&lt;&gt;"",CONCATENATE(",",VLOOKUP(AG52,$B$2:$AH$219,33,FALSE)),""))</f>
        <v>1,1,3</v>
      </c>
      <c r="AU52" t="str">
        <f>VLOOKUP(F52,Eras!$A$2:$C$10, 2, TRUE)</f>
        <v>big4</v>
      </c>
      <c r="AW52" t="str">
        <f t="shared" si="2"/>
        <v>big4_</v>
      </c>
    </row>
    <row r="53" spans="1:50" x14ac:dyDescent="0.25">
      <c r="A53" t="s">
        <v>351</v>
      </c>
      <c r="B53" t="s">
        <v>350</v>
      </c>
      <c r="C53" t="s">
        <v>352</v>
      </c>
      <c r="E53" t="s">
        <v>335</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FALSE),IF(AG53&lt;&gt;"",CONCATENATE(",",VLOOKUP(AG53,$B$2:$AH$219,33,FALSE)),""))</f>
        <v>1,1,3</v>
      </c>
      <c r="AU53" t="str">
        <f>VLOOKUP(F53,Eras!$A$2:$C$10, 2, TRUE)</f>
        <v>big4</v>
      </c>
      <c r="AW53" t="str">
        <f t="shared" si="2"/>
        <v>big4_</v>
      </c>
    </row>
    <row r="54" spans="1:50" x14ac:dyDescent="0.25">
      <c r="A54" t="s">
        <v>354</v>
      </c>
      <c r="B54" t="s">
        <v>355</v>
      </c>
      <c r="C54" t="s">
        <v>352</v>
      </c>
      <c r="E54" t="s">
        <v>335</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FALSE),IF(AG54&lt;&gt;"",CONCATENATE(",",VLOOKUP(AG54,$B$2:$AH$219,33,FALSE)),""))</f>
        <v>1,1,3</v>
      </c>
      <c r="AU54" t="str">
        <f>VLOOKUP(F54,Eras!$A$2:$C$10, 2, TRUE)</f>
        <v>big4</v>
      </c>
      <c r="AW54" t="str">
        <f t="shared" si="2"/>
        <v>big4_</v>
      </c>
    </row>
    <row r="55" spans="1:50" x14ac:dyDescent="0.25">
      <c r="A55" t="s">
        <v>31</v>
      </c>
      <c r="B55" t="s">
        <v>356</v>
      </c>
      <c r="C55" t="s">
        <v>323</v>
      </c>
      <c r="D55" t="s">
        <v>332</v>
      </c>
      <c r="E55" t="s">
        <v>335</v>
      </c>
      <c r="F55">
        <v>1926</v>
      </c>
      <c r="G55">
        <v>1932</v>
      </c>
      <c r="J55">
        <v>1400</v>
      </c>
      <c r="L55" s="6">
        <v>21</v>
      </c>
      <c r="M55" s="6">
        <v>26</v>
      </c>
      <c r="N55" s="6">
        <v>2</v>
      </c>
      <c r="O55" s="6">
        <v>180</v>
      </c>
      <c r="P55" s="7">
        <f>((($X55/2)/60)*5280)/($Q55*3.2*PI())</f>
        <v>191.48329090743655</v>
      </c>
      <c r="Q55" s="6">
        <v>1.6</v>
      </c>
      <c r="R55" s="6">
        <f>((($L55*$L55/4)*PI())*($M55/12)*$N55*$O55*$P55)/(33000*1.1)</f>
        <v>1425.1065340909088</v>
      </c>
      <c r="S55">
        <v>67</v>
      </c>
      <c r="T55" s="9">
        <v>46</v>
      </c>
      <c r="V55">
        <v>118</v>
      </c>
      <c r="W55" s="4">
        <f t="shared" si="0"/>
        <v>0.10442477876106195</v>
      </c>
      <c r="X55">
        <v>70</v>
      </c>
      <c r="Z55">
        <v>10.44</v>
      </c>
      <c r="AA55">
        <v>10.44</v>
      </c>
      <c r="AE55" t="str">
        <f>CONCATENATE(VLOOKUP(AF55, 'Voxel Sizes'!$A$2:$B$18,2,FALSE),"x",INT(AB55*15), "x", INT(AC55*15))</f>
        <v>102x0x0</v>
      </c>
      <c r="AF55">
        <f t="shared" si="1"/>
        <v>6</v>
      </c>
      <c r="AG55" t="s">
        <v>350</v>
      </c>
      <c r="AH55" t="str">
        <f>CONCATENATE(VLOOKUP(AF55,'Articulated Lengths'!$A$2:$C$16,IF(AG55&lt;&gt;"", 3, 2), FALSE),IF(AG55&lt;&gt;"",CONCATENATE(",",VLOOKUP(AG55,$B$2:$AH$219,33,FALSE)),""))</f>
        <v>2,2,2,1,1,3</v>
      </c>
      <c r="AN55">
        <v>1</v>
      </c>
      <c r="AO55">
        <v>10</v>
      </c>
      <c r="AP55">
        <v>10</v>
      </c>
      <c r="AU55" t="str">
        <f>VLOOKUP(F55,Eras!$A$2:$C$10, 2, TRUE)</f>
        <v>big4</v>
      </c>
      <c r="AV55" t="s">
        <v>390</v>
      </c>
      <c r="AW55" t="str">
        <f t="shared" si="2"/>
        <v>big4_Express</v>
      </c>
      <c r="AX55" t="s">
        <v>415</v>
      </c>
    </row>
    <row r="56" spans="1:50" x14ac:dyDescent="0.25">
      <c r="A56" t="s">
        <v>507</v>
      </c>
      <c r="B56" t="s">
        <v>508</v>
      </c>
      <c r="C56" t="s">
        <v>352</v>
      </c>
      <c r="E56" t="s">
        <v>335</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FALSE),IF(AG56&lt;&gt;"",CONCATENATE(",",VLOOKUP(AG56,$B$2:$AH$219,33,FALSE)),""))</f>
        <v>1,1,3</v>
      </c>
      <c r="AO56">
        <v>10</v>
      </c>
      <c r="AP56">
        <v>10</v>
      </c>
      <c r="AU56" t="str">
        <f>VLOOKUP(F56,Eras!$A$2:$C$10, 2, TRUE)</f>
        <v>big4</v>
      </c>
      <c r="AW56" t="str">
        <f t="shared" si="2"/>
        <v>big4_</v>
      </c>
    </row>
    <row r="57" spans="1:50" x14ac:dyDescent="0.25">
      <c r="A57" t="s">
        <v>159</v>
      </c>
      <c r="B57" t="s">
        <v>496</v>
      </c>
      <c r="C57" t="s">
        <v>323</v>
      </c>
      <c r="D57" t="s">
        <v>332</v>
      </c>
      <c r="E57" t="s">
        <v>335</v>
      </c>
      <c r="F57">
        <v>1927</v>
      </c>
      <c r="H57">
        <v>1961</v>
      </c>
      <c r="J57">
        <v>1200</v>
      </c>
      <c r="L57" s="6">
        <v>17</v>
      </c>
      <c r="M57" s="6">
        <v>26</v>
      </c>
      <c r="N57" s="6">
        <v>3</v>
      </c>
      <c r="O57" s="6">
        <v>180</v>
      </c>
      <c r="P57" s="7">
        <f>((($X57/2)/60)*5280)/($Q57*3.2*PI())</f>
        <v>164.12853506351706</v>
      </c>
      <c r="Q57" s="6">
        <v>2</v>
      </c>
      <c r="R57" s="6">
        <f>((($L57*$L57/4)*PI())*($M57/12)*$N57*$O57*$P57)/(33000*1.1)</f>
        <v>1200.7457386363637</v>
      </c>
      <c r="S57">
        <v>66</v>
      </c>
      <c r="T57" s="9">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461</v>
      </c>
      <c r="AH57" t="str">
        <f>CONCATENATE(VLOOKUP(AF57,'Articulated Lengths'!$A$2:$C$16,IF(AG57&lt;&gt;"", 3, 2), FALSE),IF(AG57&lt;&gt;"",CONCATENATE(",",VLOOKUP(AG57,$B$2:$AH$219,33,FALSE)),""))</f>
        <v>2,2,2,1,1,3</v>
      </c>
      <c r="AN57">
        <v>1</v>
      </c>
      <c r="AO57">
        <v>10</v>
      </c>
      <c r="AP57">
        <v>10</v>
      </c>
      <c r="AU57" t="str">
        <f>VLOOKUP(F57,Eras!$A$2:$C$10, 2, TRUE)</f>
        <v>big4</v>
      </c>
      <c r="AV57" t="s">
        <v>439</v>
      </c>
      <c r="AW57" t="str">
        <f t="shared" si="2"/>
        <v>big4_Passenger</v>
      </c>
      <c r="AX57" t="s">
        <v>495</v>
      </c>
    </row>
    <row r="58" spans="1:50" x14ac:dyDescent="0.25">
      <c r="A58" t="s">
        <v>498</v>
      </c>
      <c r="B58" t="s">
        <v>497</v>
      </c>
      <c r="C58" t="s">
        <v>323</v>
      </c>
      <c r="D58" t="s">
        <v>332</v>
      </c>
      <c r="E58" t="s">
        <v>335</v>
      </c>
      <c r="F58">
        <v>1927</v>
      </c>
      <c r="G58">
        <v>1936</v>
      </c>
      <c r="H58">
        <v>1962</v>
      </c>
      <c r="J58">
        <v>2300</v>
      </c>
      <c r="L58" s="6">
        <v>16.25</v>
      </c>
      <c r="M58" s="6">
        <v>28</v>
      </c>
      <c r="N58" s="6">
        <v>4</v>
      </c>
      <c r="O58" s="6">
        <v>250</v>
      </c>
      <c r="P58" s="7">
        <f>((($X58/2)/60)*5280)/($Q58*3.2*PI())</f>
        <v>232.10095867568069</v>
      </c>
      <c r="Q58" s="6">
        <v>1.98</v>
      </c>
      <c r="R58" s="6">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493</v>
      </c>
      <c r="AH58" t="str">
        <f>CONCATENATE(VLOOKUP(AF58,'Articulated Lengths'!$A$2:$C$16,IF(AG58&lt;&gt;"", 3, 2), FALSE),IF(AG58&lt;&gt;"",CONCATENATE(",",VLOOKUP(AG58,$B$2:$AH$219,33,FALSE)),""))</f>
        <v>2,2,4,1,1,3</v>
      </c>
      <c r="AN58">
        <v>1</v>
      </c>
      <c r="AO58">
        <v>10</v>
      </c>
      <c r="AP58">
        <v>10</v>
      </c>
      <c r="AU58" t="str">
        <f>VLOOKUP(F58,Eras!$A$2:$C$10, 2, TRUE)</f>
        <v>big4</v>
      </c>
      <c r="AV58" t="s">
        <v>390</v>
      </c>
      <c r="AW58" t="str">
        <f t="shared" si="2"/>
        <v>big4_Express</v>
      </c>
      <c r="AX58" t="s">
        <v>499</v>
      </c>
    </row>
    <row r="59" spans="1:50" x14ac:dyDescent="0.25">
      <c r="A59" t="s">
        <v>34</v>
      </c>
      <c r="B59" t="s">
        <v>501</v>
      </c>
      <c r="C59" t="s">
        <v>323</v>
      </c>
      <c r="D59" t="s">
        <v>332</v>
      </c>
      <c r="E59" t="s">
        <v>335</v>
      </c>
      <c r="F59">
        <v>1927</v>
      </c>
      <c r="G59">
        <v>1934</v>
      </c>
      <c r="H59">
        <v>1966</v>
      </c>
      <c r="J59">
        <v>950</v>
      </c>
      <c r="L59" s="6">
        <v>19</v>
      </c>
      <c r="M59" s="6">
        <v>26</v>
      </c>
      <c r="N59" s="6">
        <v>2</v>
      </c>
      <c r="O59" s="6">
        <v>200</v>
      </c>
      <c r="P59" s="7">
        <f>((($X59/2)/60)*5280)/($Q59*3.2*PI())</f>
        <v>205.96522047186451</v>
      </c>
      <c r="Q59" s="6">
        <v>1.7</v>
      </c>
      <c r="R59" s="6">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FALSE),IF(AG59&lt;&gt;"",CONCATENATE(",",VLOOKUP(AG59,$B$2:$AH$219,33,FALSE)),""))</f>
        <v>2,2,4</v>
      </c>
      <c r="AN59">
        <v>1</v>
      </c>
      <c r="AO59">
        <v>10</v>
      </c>
      <c r="AP59">
        <v>10</v>
      </c>
      <c r="AU59" t="str">
        <f>VLOOKUP(F59,Eras!$A$2:$C$10, 2, TRUE)</f>
        <v>big4</v>
      </c>
      <c r="AV59" t="s">
        <v>389</v>
      </c>
      <c r="AW59" t="str">
        <f t="shared" si="2"/>
        <v>big4_Mixed Traffic</v>
      </c>
      <c r="AX59" t="s">
        <v>500</v>
      </c>
    </row>
    <row r="60" spans="1:50" x14ac:dyDescent="0.25">
      <c r="A60" t="s">
        <v>129</v>
      </c>
      <c r="B60" t="s">
        <v>519</v>
      </c>
      <c r="C60" t="s">
        <v>342</v>
      </c>
      <c r="E60" t="s">
        <v>335</v>
      </c>
      <c r="F60">
        <v>1928</v>
      </c>
      <c r="S60">
        <v>40</v>
      </c>
      <c r="U60">
        <v>6</v>
      </c>
      <c r="W60" s="4" t="str">
        <f t="shared" si="0"/>
        <v/>
      </c>
      <c r="X60">
        <v>95</v>
      </c>
      <c r="Z60">
        <v>20</v>
      </c>
      <c r="AA60">
        <v>20</v>
      </c>
      <c r="AD60" s="11">
        <v>48</v>
      </c>
      <c r="AE60" t="str">
        <f>CONCATENATE(VLOOKUP(AF60, 'Voxel Sizes'!$A$2:$B$18,2,FALSE),"x",INT(AB60*15), "x", INT(AC60*15))</f>
        <v>198x0x0</v>
      </c>
      <c r="AF60">
        <f t="shared" si="1"/>
        <v>12</v>
      </c>
      <c r="AH60" t="str">
        <f>CONCATENATE(VLOOKUP(AF60,'Articulated Lengths'!$A$2:$C$16,IF(AG60&lt;&gt;"", 3, 2), FALSE),IF(AG60&lt;&gt;"",CONCATENATE(",",VLOOKUP(AG60,$B$2:$AH$219,33,FALSE)),""))</f>
        <v>3,3,6</v>
      </c>
      <c r="AO60">
        <v>10</v>
      </c>
      <c r="AP60">
        <v>10</v>
      </c>
      <c r="AT60" t="s">
        <v>344</v>
      </c>
      <c r="AU60" t="str">
        <f>VLOOKUP(F60,Eras!$A$2:$C$10, 2, TRUE)</f>
        <v>big4</v>
      </c>
      <c r="AV60" t="s">
        <v>397</v>
      </c>
      <c r="AW60" t="str">
        <f t="shared" si="2"/>
        <v>big4_Carriage</v>
      </c>
      <c r="AX60" t="s">
        <v>520</v>
      </c>
    </row>
    <row r="61" spans="1:50" x14ac:dyDescent="0.25">
      <c r="A61" t="s">
        <v>502</v>
      </c>
      <c r="B61" t="s">
        <v>504</v>
      </c>
      <c r="C61" t="s">
        <v>323</v>
      </c>
      <c r="D61" t="s">
        <v>332</v>
      </c>
      <c r="E61" t="s">
        <v>335</v>
      </c>
      <c r="F61">
        <v>1928</v>
      </c>
      <c r="G61">
        <v>1943</v>
      </c>
      <c r="H61">
        <v>1965</v>
      </c>
      <c r="J61">
        <v>1600</v>
      </c>
      <c r="L61" s="6">
        <v>18.5</v>
      </c>
      <c r="M61" s="6">
        <v>30</v>
      </c>
      <c r="N61" s="6">
        <v>2</v>
      </c>
      <c r="O61" s="6">
        <v>225</v>
      </c>
      <c r="P61" s="7">
        <f>((($X61/2)/60)*5280)/($Q61*3.2*PI())</f>
        <v>194.52270822342763</v>
      </c>
      <c r="Q61" s="6">
        <v>1.8</v>
      </c>
      <c r="R61" s="6">
        <f>((($L61*$L61/4)*PI())*($M61/12)*$N61*$O61*$P61)/(33000*1.1)</f>
        <v>1620.501893939394</v>
      </c>
      <c r="S61">
        <v>76.2</v>
      </c>
      <c r="T61" s="9">
        <v>47</v>
      </c>
      <c r="V61">
        <v>121</v>
      </c>
      <c r="W61" s="4">
        <f t="shared" si="0"/>
        <v>9.8214285714285712E-2</v>
      </c>
      <c r="X61">
        <v>80</v>
      </c>
      <c r="Z61">
        <v>19.2</v>
      </c>
      <c r="AA61">
        <f>Z61-7.5</f>
        <v>11.7</v>
      </c>
      <c r="AC61">
        <v>4.04</v>
      </c>
      <c r="AE61" t="str">
        <f>CONCATENATE(VLOOKUP(AF61, 'Voxel Sizes'!$A$2:$B$18,2,FALSE),"x",INT(AB61*15), "x", INT(AC61*15))</f>
        <v>120x0x60</v>
      </c>
      <c r="AF61">
        <f t="shared" si="1"/>
        <v>7</v>
      </c>
      <c r="AG61" t="s">
        <v>493</v>
      </c>
      <c r="AH61" t="str">
        <f>CONCATENATE(VLOOKUP(AF61,'Articulated Lengths'!$A$2:$C$16,IF(AG61&lt;&gt;"", 3, 2), FALSE),IF(AG61&lt;&gt;"",CONCATENATE(",",VLOOKUP(AG61,$B$2:$AH$219,33,FALSE)),""))</f>
        <v>2,2,3,1,1,3</v>
      </c>
      <c r="AN61">
        <v>1</v>
      </c>
      <c r="AO61">
        <v>10</v>
      </c>
      <c r="AP61">
        <v>10</v>
      </c>
      <c r="AU61" t="str">
        <f>VLOOKUP(F61,Eras!$A$2:$C$10, 2, TRUE)</f>
        <v>big4</v>
      </c>
      <c r="AV61" t="s">
        <v>389</v>
      </c>
      <c r="AW61" t="str">
        <f t="shared" si="2"/>
        <v>big4_Mixed Traffic</v>
      </c>
      <c r="AX61" t="s">
        <v>503</v>
      </c>
    </row>
    <row r="62" spans="1:50" x14ac:dyDescent="0.25">
      <c r="A62" t="s">
        <v>26</v>
      </c>
      <c r="B62" t="s">
        <v>506</v>
      </c>
      <c r="C62" t="s">
        <v>323</v>
      </c>
      <c r="D62" t="s">
        <v>332</v>
      </c>
      <c r="E62" t="s">
        <v>335</v>
      </c>
      <c r="F62">
        <v>1928</v>
      </c>
      <c r="G62">
        <v>1935</v>
      </c>
      <c r="H62">
        <v>1966</v>
      </c>
      <c r="J62">
        <v>2100</v>
      </c>
      <c r="L62" s="6">
        <v>19</v>
      </c>
      <c r="M62" s="6">
        <v>26</v>
      </c>
      <c r="N62" s="6">
        <v>3</v>
      </c>
      <c r="O62" s="6">
        <v>220</v>
      </c>
      <c r="P62" s="7">
        <f>((($X62/2)/60)*5280)/($Q62*3.2*PI())</f>
        <v>236.34509049146459</v>
      </c>
      <c r="Q62" s="6">
        <v>2</v>
      </c>
      <c r="R62" s="6">
        <f>((($L62*$L62/4)*PI())*($M62/12)*$N62*$O62*$P62)/(33000*1.1)</f>
        <v>2639.8124999999995</v>
      </c>
      <c r="S62">
        <v>92.8</v>
      </c>
      <c r="T62" s="9">
        <v>54</v>
      </c>
      <c r="V62">
        <v>146</v>
      </c>
      <c r="W62" s="4">
        <f t="shared" si="0"/>
        <v>9.9455040871934602E-2</v>
      </c>
      <c r="X62">
        <v>108</v>
      </c>
      <c r="Y62">
        <v>1</v>
      </c>
      <c r="Z62">
        <v>21.46</v>
      </c>
      <c r="AA62">
        <f>Z62-7.5</f>
        <v>13.96</v>
      </c>
      <c r="AE62" t="str">
        <f>CONCATENATE(VLOOKUP(AF62, 'Voxel Sizes'!$A$2:$B$18,2,FALSE),"x",INT(AB62*15), "x", INT(AC62*15))</f>
        <v>136x0x0</v>
      </c>
      <c r="AF62">
        <f t="shared" si="1"/>
        <v>8</v>
      </c>
      <c r="AG62" t="s">
        <v>508</v>
      </c>
      <c r="AH62" t="str">
        <f>CONCATENATE(VLOOKUP(AF62,'Articulated Lengths'!$A$2:$C$16,IF(AG62&lt;&gt;"", 3, 2), FALSE),IF(AG62&lt;&gt;"",CONCATENATE(",",VLOOKUP(AG62,$B$2:$AH$219,33,FALSE)),""))</f>
        <v>2,2,4,1,1,3</v>
      </c>
      <c r="AN62">
        <v>1</v>
      </c>
      <c r="AO62">
        <v>10</v>
      </c>
      <c r="AP62">
        <v>10</v>
      </c>
      <c r="AU62" t="str">
        <f>VLOOKUP(F62,Eras!$A$2:$C$10, 2, TRUE)</f>
        <v>big4</v>
      </c>
      <c r="AV62" t="s">
        <v>390</v>
      </c>
      <c r="AW62" t="str">
        <f t="shared" si="2"/>
        <v>big4_Express</v>
      </c>
      <c r="AX62" t="s">
        <v>505</v>
      </c>
    </row>
    <row r="63" spans="1:50" x14ac:dyDescent="0.25">
      <c r="A63" t="s">
        <v>22</v>
      </c>
      <c r="B63" t="s">
        <v>510</v>
      </c>
      <c r="C63" t="s">
        <v>323</v>
      </c>
      <c r="D63" t="s">
        <v>332</v>
      </c>
      <c r="E63" t="s">
        <v>335</v>
      </c>
      <c r="F63">
        <v>1929</v>
      </c>
      <c r="G63">
        <v>1950</v>
      </c>
      <c r="H63">
        <v>1971</v>
      </c>
      <c r="J63">
        <v>750</v>
      </c>
      <c r="L63" s="6">
        <v>17.5</v>
      </c>
      <c r="M63" s="6">
        <v>24</v>
      </c>
      <c r="N63" s="6">
        <v>2</v>
      </c>
      <c r="O63" s="6">
        <v>200</v>
      </c>
      <c r="P63" s="7">
        <f>((($X63/2)/60)*5280)/($Q63*3.2*PI())</f>
        <v>187.57546864401954</v>
      </c>
      <c r="Q63" s="6">
        <v>1.4</v>
      </c>
      <c r="R63" s="6">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FALSE),IF(AG63&lt;&gt;"",CONCATENATE(",",VLOOKUP(AG63,$B$2:$AH$219,33,FALSE)),""))</f>
        <v>2,2,2</v>
      </c>
      <c r="AN63">
        <v>1</v>
      </c>
      <c r="AO63">
        <v>10</v>
      </c>
      <c r="AP63">
        <v>10</v>
      </c>
      <c r="AU63" t="str">
        <f>VLOOKUP(F63,Eras!$A$2:$C$10, 2, TRUE)</f>
        <v>big4</v>
      </c>
      <c r="AV63" t="s">
        <v>388</v>
      </c>
      <c r="AW63" t="str">
        <f t="shared" si="2"/>
        <v>big4_Cheap</v>
      </c>
      <c r="AX63" t="s">
        <v>509</v>
      </c>
    </row>
    <row r="64" spans="1:50" x14ac:dyDescent="0.25">
      <c r="A64" t="s">
        <v>35</v>
      </c>
      <c r="B64" t="s">
        <v>204</v>
      </c>
      <c r="C64" t="s">
        <v>323</v>
      </c>
      <c r="D64" t="s">
        <v>332</v>
      </c>
      <c r="E64" t="s">
        <v>335</v>
      </c>
      <c r="F64">
        <v>1930</v>
      </c>
      <c r="G64">
        <v>1935</v>
      </c>
      <c r="H64">
        <v>1961</v>
      </c>
      <c r="J64">
        <v>1750</v>
      </c>
      <c r="L64" s="6">
        <v>16.5</v>
      </c>
      <c r="M64" s="6">
        <v>26</v>
      </c>
      <c r="N64" s="6">
        <v>3</v>
      </c>
      <c r="O64" s="6">
        <v>220</v>
      </c>
      <c r="P64" s="7">
        <f>((($X64/2)/60)*5280)/($Q64*3.2*PI())</f>
        <v>207.89614441378828</v>
      </c>
      <c r="Q64" s="6">
        <v>2</v>
      </c>
      <c r="R64" s="6">
        <f>((($L64*$L64/4)*PI())*($M64/12)*$N64*$O64*$P64)/(33000*1.1)</f>
        <v>1751.19140625</v>
      </c>
      <c r="S64">
        <v>68.2</v>
      </c>
      <c r="T64" s="9">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513</v>
      </c>
      <c r="AH64" t="str">
        <f>CONCATENATE(VLOOKUP(AF64,'Articulated Lengths'!$A$2:$C$16,IF(AG64&lt;&gt;"", 3, 2), FALSE),IF(AG64&lt;&gt;"",CONCATENATE(",",VLOOKUP(AG64,$B$2:$AH$219,33,FALSE)),""))</f>
        <v>2,2,2,1,1,3</v>
      </c>
      <c r="AN64">
        <v>1</v>
      </c>
      <c r="AO64">
        <v>10</v>
      </c>
      <c r="AP64">
        <v>10</v>
      </c>
      <c r="AU64" t="str">
        <f>VLOOKUP(F64,Eras!$A$2:$C$10, 2, TRUE)</f>
        <v>big4</v>
      </c>
      <c r="AV64" t="s">
        <v>390</v>
      </c>
      <c r="AW64" t="str">
        <f t="shared" si="2"/>
        <v>big4_Express</v>
      </c>
      <c r="AX64" t="s">
        <v>511</v>
      </c>
    </row>
    <row r="65" spans="1:50" x14ac:dyDescent="0.25">
      <c r="A65" t="s">
        <v>514</v>
      </c>
      <c r="B65" t="s">
        <v>516</v>
      </c>
      <c r="C65" t="s">
        <v>323</v>
      </c>
      <c r="D65" t="s">
        <v>332</v>
      </c>
      <c r="E65" t="s">
        <v>335</v>
      </c>
      <c r="F65">
        <v>1932</v>
      </c>
      <c r="G65">
        <v>1936</v>
      </c>
      <c r="H65">
        <v>1965</v>
      </c>
      <c r="J65">
        <v>600</v>
      </c>
      <c r="L65" s="6">
        <v>16</v>
      </c>
      <c r="M65" s="6">
        <v>24</v>
      </c>
      <c r="N65" s="6">
        <v>2</v>
      </c>
      <c r="O65" s="6">
        <v>165</v>
      </c>
      <c r="P65" s="7">
        <f>((($X65/2)/60)*5280)/($Q65*3.2*PI())</f>
        <v>218.83804675135607</v>
      </c>
      <c r="Q65" s="6">
        <v>1.6</v>
      </c>
      <c r="R65" s="6">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FALSE),IF(AG65&lt;&gt;"",CONCATENATE(",",VLOOKUP(AG65,$B$2:$AH$219,33,FALSE)),""))</f>
        <v>1,1,3</v>
      </c>
      <c r="AN65">
        <v>1</v>
      </c>
      <c r="AO65">
        <v>10</v>
      </c>
      <c r="AP65">
        <v>10</v>
      </c>
      <c r="AU65" t="str">
        <f>VLOOKUP(F65,Eras!$A$2:$C$10, 2, TRUE)</f>
        <v>big4</v>
      </c>
      <c r="AV65" t="s">
        <v>388</v>
      </c>
      <c r="AW65" t="str">
        <f t="shared" si="2"/>
        <v>big4_Cheap</v>
      </c>
      <c r="AX65" t="s">
        <v>515</v>
      </c>
    </row>
    <row r="66" spans="1:50" x14ac:dyDescent="0.25">
      <c r="A66" t="s">
        <v>79</v>
      </c>
      <c r="B66" t="s">
        <v>290</v>
      </c>
      <c r="C66" t="s">
        <v>181</v>
      </c>
      <c r="D66" t="s">
        <v>357</v>
      </c>
      <c r="E66" t="s">
        <v>365</v>
      </c>
      <c r="F66">
        <v>1932</v>
      </c>
      <c r="H66">
        <v>1972</v>
      </c>
      <c r="I66">
        <v>5</v>
      </c>
      <c r="J66">
        <v>1800</v>
      </c>
      <c r="S66">
        <v>253</v>
      </c>
      <c r="V66">
        <v>145</v>
      </c>
      <c r="W66" s="4">
        <f t="shared" ref="W66:W129" si="3">IF(AND(S66&gt;0,V66&gt;0),(V66/((S66+T66)*10)),"")</f>
        <v>5.731225296442688E-2</v>
      </c>
      <c r="X66">
        <v>75</v>
      </c>
      <c r="Z66">
        <v>20.11</v>
      </c>
      <c r="AA66">
        <v>20.11</v>
      </c>
      <c r="AD66" s="11">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FALSE),IF(AG66&lt;&gt;"",CONCATENATE(",",VLOOKUP(AG66,$B$2:$AH$219,33,FALSE)),""))</f>
        <v>3,3,6</v>
      </c>
      <c r="AJ66" t="s">
        <v>518</v>
      </c>
      <c r="AL66" t="s">
        <v>521</v>
      </c>
      <c r="AO66">
        <v>10</v>
      </c>
      <c r="AP66">
        <v>10</v>
      </c>
      <c r="AT66" t="s">
        <v>344</v>
      </c>
      <c r="AU66" t="str">
        <f>VLOOKUP(F66,Eras!$A$2:$C$10, 2, TRUE)</f>
        <v>big4</v>
      </c>
      <c r="AV66" t="s">
        <v>396</v>
      </c>
      <c r="AW66" t="str">
        <f t="shared" ref="AW66:AW129" si="5">CONCATENATE(AU66,"_",AV66)</f>
        <v>big4_EMU (Express)</v>
      </c>
      <c r="AX66" t="s">
        <v>517</v>
      </c>
    </row>
    <row r="67" spans="1:50" x14ac:dyDescent="0.25">
      <c r="A67" t="s">
        <v>78</v>
      </c>
      <c r="B67" t="s">
        <v>225</v>
      </c>
      <c r="C67" t="s">
        <v>323</v>
      </c>
      <c r="D67" t="s">
        <v>333</v>
      </c>
      <c r="E67" t="s">
        <v>335</v>
      </c>
      <c r="F67">
        <v>1933</v>
      </c>
      <c r="G67">
        <v>1942</v>
      </c>
      <c r="H67">
        <v>1962</v>
      </c>
      <c r="J67">
        <v>260</v>
      </c>
      <c r="S67">
        <v>35</v>
      </c>
      <c r="V67">
        <v>55</v>
      </c>
      <c r="W67" s="4">
        <f t="shared" si="3"/>
        <v>0.15714285714285714</v>
      </c>
      <c r="X67">
        <v>63</v>
      </c>
      <c r="Z67">
        <v>18.399999999999999</v>
      </c>
      <c r="AA67">
        <v>17</v>
      </c>
      <c r="AD67" s="11">
        <v>69</v>
      </c>
      <c r="AE67" t="str">
        <f>CONCATENATE(VLOOKUP(AF67, 'Voxel Sizes'!$A$2:$B$18,2,FALSE),"x",INT(AB67*15), "x", INT(AC67*15))</f>
        <v>164x0x0</v>
      </c>
      <c r="AF67">
        <f t="shared" si="4"/>
        <v>10</v>
      </c>
      <c r="AH67" t="str">
        <f>CONCATENATE(VLOOKUP(AF67,'Articulated Lengths'!$A$2:$C$16,IF(AG67&lt;&gt;"", 3, 2), FALSE),IF(AG67&lt;&gt;"",CONCATENATE(",",VLOOKUP(AG67,$B$2:$AH$219,33,FALSE)),""))</f>
        <v>3,3,4</v>
      </c>
      <c r="AO67">
        <v>10</v>
      </c>
      <c r="AP67">
        <v>10</v>
      </c>
      <c r="AT67" t="s">
        <v>344</v>
      </c>
      <c r="AU67" t="str">
        <f>VLOOKUP(F67,Eras!$A$2:$C$10, 2, TRUE)</f>
        <v>big4</v>
      </c>
      <c r="AV67" t="s">
        <v>392</v>
      </c>
      <c r="AW67" t="str">
        <f t="shared" si="5"/>
        <v>big4_DMU (Cheap)</v>
      </c>
      <c r="AX67" t="s">
        <v>522</v>
      </c>
    </row>
    <row r="68" spans="1:50" x14ac:dyDescent="0.25">
      <c r="A68" t="s">
        <v>30</v>
      </c>
      <c r="B68" t="s">
        <v>349</v>
      </c>
      <c r="C68" t="s">
        <v>323</v>
      </c>
      <c r="D68" t="s">
        <v>332</v>
      </c>
      <c r="E68" t="s">
        <v>335</v>
      </c>
      <c r="F68">
        <v>1934</v>
      </c>
      <c r="G68">
        <v>1951</v>
      </c>
      <c r="H68">
        <v>1967</v>
      </c>
      <c r="J68">
        <v>1250</v>
      </c>
      <c r="S68">
        <v>73.400000000000006</v>
      </c>
      <c r="T68" s="9">
        <v>46</v>
      </c>
      <c r="V68">
        <v>113</v>
      </c>
      <c r="W68" s="4">
        <f t="shared" si="3"/>
        <v>9.4639865996649919E-2</v>
      </c>
      <c r="X68">
        <v>92</v>
      </c>
      <c r="Y68">
        <v>1</v>
      </c>
      <c r="Z68">
        <v>11.76</v>
      </c>
      <c r="AA68">
        <v>11.76</v>
      </c>
      <c r="AE68" t="str">
        <f>CONCATENATE(VLOOKUP(AF68, 'Voxel Sizes'!$A$2:$B$18,2,FALSE),"x",INT(AB68*15), "x", INT(AC68*15))</f>
        <v>120x0x0</v>
      </c>
      <c r="AF68">
        <f t="shared" si="4"/>
        <v>7</v>
      </c>
      <c r="AG68" t="s">
        <v>355</v>
      </c>
      <c r="AH68" t="str">
        <f>CONCATENATE(VLOOKUP(AF68,'Articulated Lengths'!$A$2:$C$16,IF(AG68&lt;&gt;"", 3, 2), FALSE),IF(AG68&lt;&gt;"",CONCATENATE(",",VLOOKUP(AG68,$B$2:$AH$219,33,FALSE)),""))</f>
        <v>2,2,3,1,1,3</v>
      </c>
      <c r="AN68">
        <v>1</v>
      </c>
      <c r="AO68">
        <v>10</v>
      </c>
      <c r="AP68">
        <v>10</v>
      </c>
      <c r="AU68" t="str">
        <f>VLOOKUP(F68,Eras!$A$2:$C$10, 2, TRUE)</f>
        <v>big4</v>
      </c>
      <c r="AV68" t="s">
        <v>389</v>
      </c>
      <c r="AW68" t="str">
        <f t="shared" si="5"/>
        <v>big4_Mixed Traffic</v>
      </c>
      <c r="AX68" t="s">
        <v>430</v>
      </c>
    </row>
    <row r="69" spans="1:50" x14ac:dyDescent="0.25">
      <c r="A69" t="s">
        <v>32</v>
      </c>
      <c r="B69" t="s">
        <v>348</v>
      </c>
      <c r="C69" t="s">
        <v>323</v>
      </c>
      <c r="D69" t="s">
        <v>332</v>
      </c>
      <c r="E69" t="s">
        <v>335</v>
      </c>
      <c r="F69">
        <v>1934</v>
      </c>
      <c r="G69">
        <v>1936</v>
      </c>
      <c r="H69">
        <v>1967</v>
      </c>
      <c r="J69">
        <v>1375</v>
      </c>
      <c r="S69">
        <v>80.8</v>
      </c>
      <c r="T69" s="9">
        <v>52</v>
      </c>
      <c r="V69">
        <v>118</v>
      </c>
      <c r="W69" s="4">
        <f t="shared" si="3"/>
        <v>8.8855421686746983E-2</v>
      </c>
      <c r="X69">
        <v>95</v>
      </c>
      <c r="Y69">
        <v>1</v>
      </c>
      <c r="Z69">
        <v>12.09</v>
      </c>
      <c r="AA69">
        <v>12.09</v>
      </c>
      <c r="AE69" t="str">
        <f>CONCATENATE(VLOOKUP(AF69, 'Voxel Sizes'!$A$2:$B$18,2,FALSE),"x",INT(AB69*15), "x", INT(AC69*15))</f>
        <v>120x0x0</v>
      </c>
      <c r="AF69">
        <f t="shared" si="4"/>
        <v>7</v>
      </c>
      <c r="AG69" t="s">
        <v>350</v>
      </c>
      <c r="AH69" t="str">
        <f>CONCATENATE(VLOOKUP(AF69,'Articulated Lengths'!$A$2:$C$16,IF(AG69&lt;&gt;"", 3, 2), FALSE),IF(AG69&lt;&gt;"",CONCATENATE(",",VLOOKUP(AG69,$B$2:$AH$219,33,FALSE)),""))</f>
        <v>2,2,3,1,1,3</v>
      </c>
      <c r="AN69">
        <v>1</v>
      </c>
      <c r="AO69">
        <v>10</v>
      </c>
      <c r="AP69">
        <v>10</v>
      </c>
      <c r="AU69" t="str">
        <f>VLOOKUP(F69,Eras!$A$2:$C$10, 2, TRUE)</f>
        <v>big4</v>
      </c>
      <c r="AV69" t="s">
        <v>390</v>
      </c>
      <c r="AW69" t="str">
        <f t="shared" si="5"/>
        <v>big4_Express</v>
      </c>
      <c r="AX69" t="s">
        <v>416</v>
      </c>
    </row>
    <row r="70" spans="1:50" x14ac:dyDescent="0.25">
      <c r="A70" t="s">
        <v>534</v>
      </c>
      <c r="B70" t="s">
        <v>533</v>
      </c>
      <c r="C70" t="s">
        <v>352</v>
      </c>
      <c r="E70" t="s">
        <v>335</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FALSE),IF(AG70&lt;&gt;"",CONCATENATE(",",VLOOKUP(AG70,$B$2:$AH$219,33,FALSE)),""))</f>
        <v>1,1,3</v>
      </c>
      <c r="AO70">
        <v>10</v>
      </c>
      <c r="AP70">
        <v>10</v>
      </c>
      <c r="AU70" t="str">
        <f>VLOOKUP(F70,Eras!$A$2:$C$10, 2, TRUE)</f>
        <v>big4</v>
      </c>
      <c r="AW70" t="str">
        <f t="shared" si="5"/>
        <v>big4_</v>
      </c>
    </row>
    <row r="71" spans="1:50" x14ac:dyDescent="0.25">
      <c r="A71" t="s">
        <v>523</v>
      </c>
      <c r="B71" t="s">
        <v>205</v>
      </c>
      <c r="C71" t="s">
        <v>323</v>
      </c>
      <c r="D71" t="s">
        <v>332</v>
      </c>
      <c r="E71" t="s">
        <v>335</v>
      </c>
      <c r="F71">
        <v>1935</v>
      </c>
      <c r="H71">
        <v>1968</v>
      </c>
      <c r="J71">
        <v>1300</v>
      </c>
      <c r="S71">
        <v>73</v>
      </c>
      <c r="T71" s="9">
        <v>46</v>
      </c>
      <c r="V71">
        <v>144</v>
      </c>
      <c r="W71" s="4">
        <f t="shared" si="3"/>
        <v>0.12100840336134454</v>
      </c>
      <c r="X71">
        <v>70</v>
      </c>
      <c r="Z71">
        <v>19.22</v>
      </c>
      <c r="AA71">
        <f>19.22-7.46</f>
        <v>11.759999999999998</v>
      </c>
      <c r="AE71" t="str">
        <f>CONCATENATE(VLOOKUP(AF71, 'Voxel Sizes'!$A$2:$B$18,2,FALSE),"x",INT(AB71*15), "x", INT(AC71*15))</f>
        <v>120x0x0</v>
      </c>
      <c r="AF71">
        <f t="shared" si="4"/>
        <v>7</v>
      </c>
      <c r="AG71" t="s">
        <v>355</v>
      </c>
      <c r="AH71" t="str">
        <f>CONCATENATE(VLOOKUP(AF71,'Articulated Lengths'!$A$2:$C$16,IF(AG71&lt;&gt;"", 3, 2), FALSE),IF(AG71&lt;&gt;"",CONCATENATE(",",VLOOKUP(AG71,$B$2:$AH$219,33,FALSE)),""))</f>
        <v>2,2,3,1,1,3</v>
      </c>
      <c r="AN71">
        <v>1</v>
      </c>
      <c r="AO71">
        <v>10</v>
      </c>
      <c r="AP71">
        <v>10</v>
      </c>
      <c r="AU71" t="str">
        <f>VLOOKUP(F71,Eras!$A$2:$C$10, 2, TRUE)</f>
        <v>big4</v>
      </c>
      <c r="AV71" t="s">
        <v>391</v>
      </c>
      <c r="AW71" t="str">
        <f t="shared" si="5"/>
        <v>big4_Freight</v>
      </c>
      <c r="AX71" t="s">
        <v>524</v>
      </c>
    </row>
    <row r="72" spans="1:50" x14ac:dyDescent="0.25">
      <c r="A72" t="s">
        <v>27</v>
      </c>
      <c r="B72" t="s">
        <v>526</v>
      </c>
      <c r="C72" t="s">
        <v>323</v>
      </c>
      <c r="D72" t="s">
        <v>332</v>
      </c>
      <c r="E72" t="s">
        <v>335</v>
      </c>
      <c r="F72">
        <v>1935</v>
      </c>
      <c r="G72">
        <v>1938</v>
      </c>
      <c r="H72">
        <v>1966</v>
      </c>
      <c r="J72">
        <v>2450</v>
      </c>
      <c r="S72">
        <v>104.6</v>
      </c>
      <c r="T72" s="9">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508</v>
      </c>
      <c r="AH72" t="str">
        <f>CONCATENATE(VLOOKUP(AF72,'Articulated Lengths'!$A$2:$C$16,IF(AG72&lt;&gt;"", 3, 2), FALSE),IF(AG72&lt;&gt;"",CONCATENATE(",",VLOOKUP(AG72,$B$2:$AH$219,33,FALSE)),""))</f>
        <v>2,2,4,1,1,3</v>
      </c>
      <c r="AN72">
        <v>1</v>
      </c>
      <c r="AO72">
        <v>10</v>
      </c>
      <c r="AP72">
        <v>10</v>
      </c>
      <c r="AU72" t="str">
        <f>VLOOKUP(F72,Eras!$A$2:$C$10, 2, TRUE)</f>
        <v>big4</v>
      </c>
      <c r="AV72" t="s">
        <v>390</v>
      </c>
      <c r="AW72" t="str">
        <f t="shared" si="5"/>
        <v>big4_Express</v>
      </c>
      <c r="AX72" t="s">
        <v>525</v>
      </c>
    </row>
    <row r="73" spans="1:50" x14ac:dyDescent="0.25">
      <c r="A73" t="s">
        <v>14</v>
      </c>
      <c r="B73" t="s">
        <v>527</v>
      </c>
      <c r="C73" t="s">
        <v>323</v>
      </c>
      <c r="D73" t="s">
        <v>332</v>
      </c>
      <c r="E73" t="s">
        <v>335</v>
      </c>
      <c r="F73">
        <v>1936</v>
      </c>
      <c r="G73">
        <v>1944</v>
      </c>
      <c r="H73">
        <v>1966</v>
      </c>
      <c r="J73">
        <v>1900</v>
      </c>
      <c r="L73" s="6">
        <v>18.5</v>
      </c>
      <c r="M73" s="6">
        <v>26</v>
      </c>
      <c r="N73" s="6">
        <v>3</v>
      </c>
      <c r="O73" s="6">
        <v>220</v>
      </c>
      <c r="P73" s="7">
        <f>((($X73/2)/60)*5280)/($Q73*3.2*PI())</f>
        <v>216.509982424214</v>
      </c>
      <c r="Q73" s="6">
        <v>1.88</v>
      </c>
      <c r="R73" s="6">
        <f>((($L73*$L73/4)*PI())*($M73/12)*$N73*$O73*$P73)/(33000*1.1)</f>
        <v>2292.6653922872338</v>
      </c>
      <c r="S73">
        <v>91</v>
      </c>
      <c r="T73" s="9">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508</v>
      </c>
      <c r="AH73" t="str">
        <f>CONCATENATE(VLOOKUP(AF73,'Articulated Lengths'!$A$2:$C$16,IF(AG73&lt;&gt;"", 3, 2), FALSE),IF(AG73&lt;&gt;"",CONCATENATE(",",VLOOKUP(AG73,$B$2:$AH$219,33,FALSE)),""))</f>
        <v>2,2,3,1,1,3</v>
      </c>
      <c r="AN73">
        <v>1</v>
      </c>
      <c r="AO73">
        <v>10</v>
      </c>
      <c r="AP73">
        <v>10</v>
      </c>
      <c r="AU73" t="str">
        <f>VLOOKUP(F73,Eras!$A$2:$C$10, 2, TRUE)</f>
        <v>big4</v>
      </c>
      <c r="AV73" t="s">
        <v>389</v>
      </c>
      <c r="AW73" t="str">
        <f t="shared" si="5"/>
        <v>big4_Mixed Traffic</v>
      </c>
      <c r="AX73" t="s">
        <v>528</v>
      </c>
    </row>
    <row r="74" spans="1:50" x14ac:dyDescent="0.25">
      <c r="A74" t="s">
        <v>23</v>
      </c>
      <c r="B74" t="s">
        <v>529</v>
      </c>
      <c r="C74" t="s">
        <v>323</v>
      </c>
      <c r="D74" t="s">
        <v>332</v>
      </c>
      <c r="E74" t="s">
        <v>335</v>
      </c>
      <c r="F74">
        <v>1936</v>
      </c>
      <c r="G74">
        <v>1939</v>
      </c>
      <c r="H74">
        <v>1965</v>
      </c>
      <c r="J74">
        <v>1600</v>
      </c>
      <c r="L74" s="6">
        <v>18.5</v>
      </c>
      <c r="M74" s="6">
        <v>30</v>
      </c>
      <c r="N74" s="6">
        <v>2</v>
      </c>
      <c r="O74" s="6">
        <v>225</v>
      </c>
      <c r="P74" s="7">
        <f>((($X74/2)/60)*5280)/($Q74*3.2*PI())</f>
        <v>193.09239419237301</v>
      </c>
      <c r="Q74" s="6">
        <v>1.7</v>
      </c>
      <c r="R74" s="6">
        <f>((($L74*$L74/4)*PI())*($M74/12)*$N74*$O74*$P74)/(33000*1.1)</f>
        <v>1608.5864388368984</v>
      </c>
      <c r="S74">
        <v>75.2</v>
      </c>
      <c r="T74" s="9">
        <v>48</v>
      </c>
      <c r="V74">
        <v>128</v>
      </c>
      <c r="W74" s="4">
        <f t="shared" si="3"/>
        <v>0.1038961038961039</v>
      </c>
      <c r="X74">
        <v>75</v>
      </c>
      <c r="Z74">
        <v>19.21</v>
      </c>
      <c r="AA74">
        <f>Z74-7.5</f>
        <v>11.71</v>
      </c>
      <c r="AC74">
        <v>3.96</v>
      </c>
      <c r="AE74" t="str">
        <f>CONCATENATE(VLOOKUP(AF74, 'Voxel Sizes'!$A$2:$B$18,2,FALSE),"x",INT(AB74*15), "x", INT(AC74*15))</f>
        <v>120x0x59</v>
      </c>
      <c r="AF74">
        <f t="shared" si="4"/>
        <v>7</v>
      </c>
      <c r="AG74" t="s">
        <v>493</v>
      </c>
      <c r="AH74" t="str">
        <f>CONCATENATE(VLOOKUP(AF74,'Articulated Lengths'!$A$2:$C$16,IF(AG74&lt;&gt;"", 3, 2), FALSE),IF(AG74&lt;&gt;"",CONCATENATE(",",VLOOKUP(AG74,$B$2:$AH$219,33,FALSE)),""))</f>
        <v>2,2,3,1,1,3</v>
      </c>
      <c r="AN74">
        <v>1</v>
      </c>
      <c r="AO74">
        <v>10</v>
      </c>
      <c r="AP74">
        <v>10</v>
      </c>
      <c r="AU74" t="str">
        <f>VLOOKUP(F74,Eras!$A$2:$C$10, 2, TRUE)</f>
        <v>big4</v>
      </c>
      <c r="AV74" t="s">
        <v>389</v>
      </c>
      <c r="AW74" t="str">
        <f t="shared" si="5"/>
        <v>big4_Mixed Traffic</v>
      </c>
      <c r="AX74" t="s">
        <v>531</v>
      </c>
    </row>
    <row r="75" spans="1:50" x14ac:dyDescent="0.25">
      <c r="A75" t="s">
        <v>33</v>
      </c>
      <c r="B75" t="s">
        <v>530</v>
      </c>
      <c r="C75" t="s">
        <v>323</v>
      </c>
      <c r="D75" t="s">
        <v>332</v>
      </c>
      <c r="E75" t="s">
        <v>335</v>
      </c>
      <c r="F75">
        <v>1937</v>
      </c>
      <c r="G75">
        <v>1948</v>
      </c>
      <c r="H75">
        <v>1964</v>
      </c>
      <c r="J75">
        <v>2500</v>
      </c>
      <c r="S75">
        <v>110</v>
      </c>
      <c r="T75" s="9">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533</v>
      </c>
      <c r="AH75" t="str">
        <f>CONCATENATE(VLOOKUP(AF75,'Articulated Lengths'!$A$2:$C$16,IF(AG75&lt;&gt;"", 3, 2), FALSE),IF(AG75&lt;&gt;"",CONCATENATE(",",VLOOKUP(AG75,$B$2:$AH$219,33,FALSE)),""))</f>
        <v>2,2,5,1,1,3</v>
      </c>
      <c r="AN75">
        <v>1</v>
      </c>
      <c r="AO75">
        <v>10</v>
      </c>
      <c r="AP75">
        <v>10</v>
      </c>
      <c r="AU75" t="str">
        <f>VLOOKUP(F75,Eras!$A$2:$C$10, 2, TRUE)</f>
        <v>big4</v>
      </c>
      <c r="AV75" t="s">
        <v>390</v>
      </c>
      <c r="AW75" t="str">
        <f t="shared" si="5"/>
        <v>big4_Express</v>
      </c>
      <c r="AX75" t="s">
        <v>532</v>
      </c>
    </row>
    <row r="76" spans="1:50" x14ac:dyDescent="0.25">
      <c r="A76" t="s">
        <v>80</v>
      </c>
      <c r="B76" t="s">
        <v>291</v>
      </c>
      <c r="C76" t="s">
        <v>475</v>
      </c>
      <c r="D76" t="s">
        <v>357</v>
      </c>
      <c r="E76" t="s">
        <v>365</v>
      </c>
      <c r="F76">
        <v>1937</v>
      </c>
      <c r="G76">
        <v>1938</v>
      </c>
      <c r="H76">
        <v>1972</v>
      </c>
      <c r="I76">
        <v>4</v>
      </c>
      <c r="J76">
        <v>900</v>
      </c>
      <c r="S76">
        <v>160.80000000000001</v>
      </c>
      <c r="U76">
        <v>8</v>
      </c>
      <c r="V76">
        <v>120</v>
      </c>
      <c r="W76" s="4">
        <f t="shared" si="3"/>
        <v>7.4626865671641784E-2</v>
      </c>
      <c r="X76">
        <v>75</v>
      </c>
      <c r="Z76">
        <v>20</v>
      </c>
      <c r="AA76">
        <v>20</v>
      </c>
      <c r="AD76" s="11">
        <v>57</v>
      </c>
      <c r="AE76" t="str">
        <f>CONCATENATE(VLOOKUP(AF76, 'Voxel Sizes'!$A$2:$B$18,2,FALSE),"x",INT(AB76*15), "x", INT(AC76*15))</f>
        <v>198x0x0</v>
      </c>
      <c r="AF76">
        <f t="shared" si="4"/>
        <v>12</v>
      </c>
      <c r="AH76" t="str">
        <f>CONCATENATE(VLOOKUP(AF76,'Articulated Lengths'!$A$2:$C$16,IF(AG76&lt;&gt;"", 3, 2), FALSE),IF(AG76&lt;&gt;"",CONCATENATE(",",VLOOKUP(AG76,$B$2:$AH$219,33,FALSE)),""))</f>
        <v>3,3,6</v>
      </c>
      <c r="AJ76" t="s">
        <v>537</v>
      </c>
      <c r="AL76" t="s">
        <v>538</v>
      </c>
      <c r="AO76">
        <v>10</v>
      </c>
      <c r="AP76">
        <v>10</v>
      </c>
      <c r="AT76" t="s">
        <v>344</v>
      </c>
      <c r="AU76" t="str">
        <f>VLOOKUP(F76,Eras!$A$2:$C$10, 2, TRUE)</f>
        <v>big4</v>
      </c>
      <c r="AV76" t="s">
        <v>395</v>
      </c>
      <c r="AW76" t="str">
        <f t="shared" si="5"/>
        <v>big4_EMU</v>
      </c>
      <c r="AX76" t="s">
        <v>535</v>
      </c>
    </row>
    <row r="77" spans="1:50" x14ac:dyDescent="0.25">
      <c r="A77" t="s">
        <v>81</v>
      </c>
      <c r="B77" t="s">
        <v>292</v>
      </c>
      <c r="C77" t="s">
        <v>475</v>
      </c>
      <c r="D77" t="s">
        <v>357</v>
      </c>
      <c r="E77" t="s">
        <v>365</v>
      </c>
      <c r="F77">
        <v>1938</v>
      </c>
      <c r="G77">
        <v>1939</v>
      </c>
      <c r="H77">
        <v>1971</v>
      </c>
      <c r="I77">
        <v>2</v>
      </c>
      <c r="J77">
        <v>550</v>
      </c>
      <c r="S77">
        <v>77</v>
      </c>
      <c r="U77">
        <v>8</v>
      </c>
      <c r="V77">
        <v>120</v>
      </c>
      <c r="W77" s="4">
        <f t="shared" si="3"/>
        <v>0.15584415584415584</v>
      </c>
      <c r="X77">
        <v>75</v>
      </c>
      <c r="Z77">
        <v>20</v>
      </c>
      <c r="AA77">
        <v>20</v>
      </c>
      <c r="AD77" s="11">
        <f>(24+102)/2</f>
        <v>63</v>
      </c>
      <c r="AE77" t="str">
        <f>CONCATENATE(VLOOKUP(AF77, 'Voxel Sizes'!$A$2:$B$18,2,FALSE),"x",INT(AB77*15), "x", INT(AC77*15))</f>
        <v>198x0x0</v>
      </c>
      <c r="AF77">
        <f t="shared" si="4"/>
        <v>12</v>
      </c>
      <c r="AH77" t="str">
        <f>CONCATENATE(VLOOKUP(AF77,'Articulated Lengths'!$A$2:$C$16,IF(AG77&lt;&gt;"", 3, 2), FALSE),IF(AG77&lt;&gt;"",CONCATENATE(",",VLOOKUP(AG77,$B$2:$AH$219,33,FALSE)),""))</f>
        <v>3,3,6</v>
      </c>
      <c r="AJ77" t="s">
        <v>539</v>
      </c>
      <c r="AL77" t="s">
        <v>540</v>
      </c>
      <c r="AO77">
        <v>10</v>
      </c>
      <c r="AP77">
        <v>10</v>
      </c>
      <c r="AT77" t="s">
        <v>344</v>
      </c>
      <c r="AU77" t="str">
        <f>VLOOKUP(F77,Eras!$A$2:$C$10, 2, TRUE)</f>
        <v>big4</v>
      </c>
      <c r="AV77" t="s">
        <v>395</v>
      </c>
      <c r="AW77" t="str">
        <f t="shared" si="5"/>
        <v>big4_EMU</v>
      </c>
      <c r="AX77" t="s">
        <v>536</v>
      </c>
    </row>
    <row r="78" spans="1:50" x14ac:dyDescent="0.25">
      <c r="A78" t="s">
        <v>114</v>
      </c>
      <c r="B78" t="s">
        <v>238</v>
      </c>
      <c r="C78" t="s">
        <v>181</v>
      </c>
      <c r="E78" t="s">
        <v>335</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FALSE),IF(AG78&lt;&gt;"",CONCATENATE(",",VLOOKUP(AG78,$B$2:$AH$219,33,FALSE)),""))</f>
        <v>na</v>
      </c>
      <c r="AO78">
        <v>10</v>
      </c>
      <c r="AP78">
        <v>10</v>
      </c>
      <c r="AU78" t="str">
        <f>VLOOKUP(F78,Eras!$A$2:$C$10, 2, TRUE)</f>
        <v>big4</v>
      </c>
      <c r="AV78" t="s">
        <v>407</v>
      </c>
      <c r="AW78" t="str">
        <f t="shared" si="5"/>
        <v>big4_LU</v>
      </c>
    </row>
    <row r="79" spans="1:50" x14ac:dyDescent="0.25">
      <c r="A79" t="s">
        <v>541</v>
      </c>
      <c r="B79" t="s">
        <v>542</v>
      </c>
      <c r="C79" t="s">
        <v>352</v>
      </c>
      <c r="E79" t="s">
        <v>335</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FALSE),IF(AG79&lt;&gt;"",CONCATENATE(",",VLOOKUP(AG79,$B$2:$AH$219,33,FALSE)),""))</f>
        <v>1,1,3</v>
      </c>
      <c r="AU79" t="str">
        <f>VLOOKUP(F79,Eras!$A$2:$C$10, 2, TRUE)</f>
        <v>big4</v>
      </c>
      <c r="AW79" t="str">
        <f t="shared" si="5"/>
        <v>big4_</v>
      </c>
    </row>
    <row r="80" spans="1:50" x14ac:dyDescent="0.25">
      <c r="A80" t="s">
        <v>36</v>
      </c>
      <c r="B80" t="s">
        <v>543</v>
      </c>
      <c r="C80" t="s">
        <v>323</v>
      </c>
      <c r="D80" t="s">
        <v>332</v>
      </c>
      <c r="E80" t="s">
        <v>335</v>
      </c>
      <c r="F80">
        <v>1941</v>
      </c>
      <c r="G80">
        <v>1949</v>
      </c>
      <c r="H80">
        <v>1967</v>
      </c>
      <c r="J80">
        <v>2100</v>
      </c>
      <c r="L80" s="6">
        <v>18</v>
      </c>
      <c r="M80" s="6">
        <v>24</v>
      </c>
      <c r="N80" s="6">
        <v>3</v>
      </c>
      <c r="O80" s="6">
        <v>250</v>
      </c>
      <c r="P80" s="7">
        <f>((($X80/2)/60)*5280)/($Q80*3.2*PI())</f>
        <v>241.87363061991991</v>
      </c>
      <c r="Q80" s="6">
        <v>1.9</v>
      </c>
      <c r="R80" s="6">
        <f>((($L80*$L80/4)*PI())*($M80/12)*$N80*$O80*$P80)/(33000*1.1)</f>
        <v>2543.3612440191391</v>
      </c>
      <c r="S80">
        <v>96.3</v>
      </c>
      <c r="T80" s="9">
        <v>52</v>
      </c>
      <c r="V80">
        <v>167</v>
      </c>
      <c r="W80" s="4">
        <f t="shared" si="3"/>
        <v>0.11260957518543493</v>
      </c>
      <c r="X80">
        <v>105</v>
      </c>
      <c r="Y80">
        <v>1</v>
      </c>
      <c r="Z80">
        <v>21.23</v>
      </c>
      <c r="AA80">
        <f>Z80-7.5</f>
        <v>13.73</v>
      </c>
      <c r="AE80" t="str">
        <f>CONCATENATE(VLOOKUP(AF80, 'Voxel Sizes'!$A$2:$B$18,2,FALSE),"x",INT(AB80*15), "x", INT(AC80*15))</f>
        <v>136x0x0</v>
      </c>
      <c r="AF80">
        <f t="shared" si="4"/>
        <v>8</v>
      </c>
      <c r="AG80" t="s">
        <v>542</v>
      </c>
      <c r="AH80" t="str">
        <f>CONCATENATE(VLOOKUP(AF80,'Articulated Lengths'!$A$2:$C$16,IF(AG80&lt;&gt;"", 3, 2), FALSE),IF(AG80&lt;&gt;"",CONCATENATE(",",VLOOKUP(AG80,$B$2:$AH$219,33,FALSE)),""))</f>
        <v>2,2,4,1,1,3</v>
      </c>
      <c r="AN80">
        <v>1</v>
      </c>
      <c r="AO80">
        <v>10</v>
      </c>
      <c r="AP80">
        <v>10</v>
      </c>
      <c r="AU80" t="str">
        <f>VLOOKUP(F80,Eras!$A$2:$C$10, 2, TRUE)</f>
        <v>big4</v>
      </c>
      <c r="AV80" t="s">
        <v>390</v>
      </c>
      <c r="AW80" t="str">
        <f t="shared" si="5"/>
        <v>big4_Express</v>
      </c>
      <c r="AX80" t="s">
        <v>544</v>
      </c>
    </row>
    <row r="81" spans="1:50" x14ac:dyDescent="0.25">
      <c r="A81" t="s">
        <v>68</v>
      </c>
      <c r="B81" t="s">
        <v>206</v>
      </c>
      <c r="C81" t="s">
        <v>323</v>
      </c>
      <c r="D81" t="s">
        <v>357</v>
      </c>
      <c r="E81" t="s">
        <v>365</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FALSE),IF(AG81&lt;&gt;"",CONCATENATE(",",VLOOKUP(AG81,$B$2:$AH$219,33,FALSE)),""))</f>
        <v>3,3,4</v>
      </c>
      <c r="AO81">
        <v>10</v>
      </c>
      <c r="AP81">
        <v>10</v>
      </c>
      <c r="AU81" t="str">
        <f>VLOOKUP(F81,Eras!$A$2:$C$10, 2, TRUE)</f>
        <v>big4</v>
      </c>
      <c r="AV81" t="s">
        <v>399</v>
      </c>
      <c r="AW81" t="str">
        <f t="shared" si="5"/>
        <v>big4_MT (Electric)</v>
      </c>
      <c r="AX81" t="s">
        <v>545</v>
      </c>
    </row>
    <row r="82" spans="1:50" x14ac:dyDescent="0.25">
      <c r="A82" t="s">
        <v>13</v>
      </c>
      <c r="B82" t="s">
        <v>207</v>
      </c>
      <c r="C82" t="s">
        <v>181</v>
      </c>
      <c r="E82" t="s">
        <v>335</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FALSE),IF(AG82&lt;&gt;"",CONCATENATE(",",VLOOKUP(AG82,$B$2:$AH$219,33,FALSE)),""))</f>
        <v>na</v>
      </c>
      <c r="AO82">
        <v>10</v>
      </c>
      <c r="AP82">
        <v>10</v>
      </c>
      <c r="AU82" t="str">
        <f>VLOOKUP(F82,Eras!$A$2:$C$10, 2, TRUE)</f>
        <v>big4</v>
      </c>
      <c r="AW82" t="str">
        <f t="shared" si="5"/>
        <v>big4_</v>
      </c>
    </row>
    <row r="83" spans="1:50" x14ac:dyDescent="0.25">
      <c r="A83" t="s">
        <v>549</v>
      </c>
      <c r="B83" t="s">
        <v>548</v>
      </c>
      <c r="C83" t="s">
        <v>352</v>
      </c>
      <c r="E83" t="s">
        <v>335</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FALSE),IF(AG83&lt;&gt;"",CONCATENATE(",",VLOOKUP(AG83,$B$2:$AH$219,33,FALSE)),""))</f>
        <v>1,1,2</v>
      </c>
      <c r="AU83" t="str">
        <f>VLOOKUP(F83,Eras!$A$2:$C$10, 2, TRUE)</f>
        <v>big4</v>
      </c>
      <c r="AW83" t="str">
        <f t="shared" si="5"/>
        <v>big4_</v>
      </c>
    </row>
    <row r="84" spans="1:50" x14ac:dyDescent="0.25">
      <c r="A84" t="s">
        <v>40</v>
      </c>
      <c r="B84" t="s">
        <v>546</v>
      </c>
      <c r="C84" t="s">
        <v>323</v>
      </c>
      <c r="D84" t="s">
        <v>332</v>
      </c>
      <c r="E84" t="s">
        <v>335</v>
      </c>
      <c r="F84">
        <v>1942</v>
      </c>
      <c r="G84">
        <v>1942</v>
      </c>
      <c r="H84">
        <v>1966</v>
      </c>
      <c r="J84">
        <v>1600</v>
      </c>
      <c r="L84" s="6">
        <v>19</v>
      </c>
      <c r="M84" s="6">
        <v>26</v>
      </c>
      <c r="N84" s="6">
        <v>2</v>
      </c>
      <c r="O84" s="6">
        <v>230</v>
      </c>
      <c r="P84" s="7">
        <f>((($X84/2)/60)*5280)/($Q84*3.2*PI())</f>
        <v>218.83804675135607</v>
      </c>
      <c r="Q84" s="6">
        <v>1.5</v>
      </c>
      <c r="R84" s="6">
        <f>((($L84*$L84/4)*PI())*($M84/12)*$N84*$O84*$P84)/(33000*1.1)</f>
        <v>1703.5827020202014</v>
      </c>
      <c r="S84">
        <v>50.3</v>
      </c>
      <c r="T84" s="9">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548</v>
      </c>
      <c r="AH84" t="str">
        <f>CONCATENATE(VLOOKUP(AF84,'Articulated Lengths'!$A$2:$C$16,IF(AG84&lt;&gt;"", 3, 2), FALSE),IF(AG84&lt;&gt;"",CONCATENATE(",",VLOOKUP(AG84,$B$2:$AH$219,33,FALSE)),""))</f>
        <v>2,2,2,1,1,2</v>
      </c>
      <c r="AN84">
        <v>1</v>
      </c>
      <c r="AO84">
        <v>10</v>
      </c>
      <c r="AP84">
        <v>10</v>
      </c>
      <c r="AU84" t="str">
        <f>VLOOKUP(F84,Eras!$A$2:$C$10, 2, TRUE)</f>
        <v>big4</v>
      </c>
      <c r="AV84" t="s">
        <v>388</v>
      </c>
      <c r="AW84" t="str">
        <f t="shared" si="5"/>
        <v>big4_Cheap</v>
      </c>
      <c r="AX84" t="s">
        <v>547</v>
      </c>
    </row>
    <row r="85" spans="1:50" x14ac:dyDescent="0.25">
      <c r="A85" t="s">
        <v>550</v>
      </c>
      <c r="B85" t="s">
        <v>273</v>
      </c>
      <c r="C85" t="s">
        <v>323</v>
      </c>
      <c r="D85" t="s">
        <v>332</v>
      </c>
      <c r="E85" t="s">
        <v>335</v>
      </c>
      <c r="F85">
        <v>1943</v>
      </c>
      <c r="G85">
        <v>1964</v>
      </c>
      <c r="H85">
        <v>1967</v>
      </c>
      <c r="J85">
        <v>500</v>
      </c>
      <c r="L85" s="6">
        <v>18</v>
      </c>
      <c r="M85" s="6">
        <v>26</v>
      </c>
      <c r="N85" s="6">
        <v>2</v>
      </c>
      <c r="O85" s="6">
        <v>170</v>
      </c>
      <c r="P85" s="7">
        <f>((($X85/2)/60)*5280)/($Q85*3.2*PI())</f>
        <v>94.268697062122627</v>
      </c>
      <c r="Q85" s="6">
        <v>1.3</v>
      </c>
      <c r="R85" s="6">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FALSE),IF(AG85&lt;&gt;"",CONCATENATE(",",VLOOKUP(AG85,$B$2:$AH$219,33,FALSE)),""))</f>
        <v>1,1,3</v>
      </c>
      <c r="AN85">
        <v>1</v>
      </c>
      <c r="AO85">
        <v>10</v>
      </c>
      <c r="AP85">
        <v>10</v>
      </c>
      <c r="AU85" t="str">
        <f>VLOOKUP(F85,Eras!$A$2:$C$10, 2, TRUE)</f>
        <v>big4</v>
      </c>
      <c r="AV85" t="s">
        <v>388</v>
      </c>
      <c r="AW85" t="str">
        <f t="shared" si="5"/>
        <v>big4_Cheap</v>
      </c>
      <c r="AX85" t="s">
        <v>551</v>
      </c>
    </row>
    <row r="86" spans="1:50" x14ac:dyDescent="0.25">
      <c r="A86" t="s">
        <v>554</v>
      </c>
      <c r="B86" t="s">
        <v>555</v>
      </c>
      <c r="C86" t="s">
        <v>352</v>
      </c>
      <c r="E86" t="s">
        <v>335</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FALSE),IF(AG86&lt;&gt;"",CONCATENATE(",",VLOOKUP(AG86,$B$2:$AH$219,33,FALSE)),""))</f>
        <v>1,1,2</v>
      </c>
      <c r="AU86" t="str">
        <f>VLOOKUP(F86,Eras!$A$2:$C$10, 2, TRUE)</f>
        <v>big4</v>
      </c>
      <c r="AW86" t="str">
        <f t="shared" si="5"/>
        <v>big4_</v>
      </c>
    </row>
    <row r="87" spans="1:50" x14ac:dyDescent="0.25">
      <c r="A87" t="s">
        <v>39</v>
      </c>
      <c r="B87" t="s">
        <v>553</v>
      </c>
      <c r="C87" t="s">
        <v>323</v>
      </c>
      <c r="D87" t="s">
        <v>332</v>
      </c>
      <c r="E87" t="s">
        <v>335</v>
      </c>
      <c r="F87">
        <v>1943</v>
      </c>
      <c r="G87">
        <v>1945</v>
      </c>
      <c r="H87">
        <v>1962</v>
      </c>
      <c r="J87">
        <v>1200</v>
      </c>
      <c r="L87" s="6">
        <v>19</v>
      </c>
      <c r="M87" s="6">
        <v>28</v>
      </c>
      <c r="N87" s="6">
        <v>2</v>
      </c>
      <c r="O87" s="6">
        <v>225</v>
      </c>
      <c r="P87" s="7">
        <f>((($X87/2)/60)*5280)/($Q87*3.2*PI())</f>
        <v>212.58553112988881</v>
      </c>
      <c r="Q87" s="6">
        <v>1.4</v>
      </c>
      <c r="R87" s="6">
        <f>((($L87*$L87/4)*PI())*($M87/12)*$N87*$O87*$P87)/(33000*1.1)</f>
        <v>1743.4659090909092</v>
      </c>
      <c r="S87">
        <v>71.400000000000006</v>
      </c>
      <c r="T87" s="9">
        <v>56.4</v>
      </c>
      <c r="V87">
        <v>152</v>
      </c>
      <c r="W87" s="4">
        <f t="shared" si="3"/>
        <v>0.1189358372456964</v>
      </c>
      <c r="X87">
        <v>68</v>
      </c>
      <c r="Z87">
        <v>19.350000000000001</v>
      </c>
      <c r="AA87">
        <v>11.7</v>
      </c>
      <c r="AE87" t="str">
        <f>CONCATENATE(VLOOKUP(AF87, 'Voxel Sizes'!$A$2:$B$18,2,FALSE),"x",INT(AB87*15), "x", INT(AC87*15))</f>
        <v>120x0x0</v>
      </c>
      <c r="AF87">
        <f t="shared" si="4"/>
        <v>7</v>
      </c>
      <c r="AG87" t="s">
        <v>555</v>
      </c>
      <c r="AH87" t="str">
        <f>CONCATENATE(VLOOKUP(AF87,'Articulated Lengths'!$A$2:$C$16,IF(AG87&lt;&gt;"", 3, 2), FALSE),IF(AG87&lt;&gt;"",CONCATENATE(",",VLOOKUP(AG87,$B$2:$AH$219,33,FALSE)),""))</f>
        <v>2,2,3,1,1,2</v>
      </c>
      <c r="AN87">
        <v>1</v>
      </c>
      <c r="AO87">
        <v>10</v>
      </c>
      <c r="AP87">
        <v>10</v>
      </c>
      <c r="AU87" t="str">
        <f>VLOOKUP(F87,Eras!$A$2:$C$10, 2, TRUE)</f>
        <v>big4</v>
      </c>
      <c r="AV87" t="s">
        <v>391</v>
      </c>
      <c r="AW87" t="str">
        <f t="shared" si="5"/>
        <v>big4_Freight</v>
      </c>
      <c r="AX87" t="s">
        <v>552</v>
      </c>
    </row>
    <row r="88" spans="1:50" x14ac:dyDescent="0.25">
      <c r="A88" t="s">
        <v>558</v>
      </c>
      <c r="B88" t="s">
        <v>297</v>
      </c>
      <c r="C88" t="s">
        <v>323</v>
      </c>
      <c r="D88" t="s">
        <v>332</v>
      </c>
      <c r="E88" t="s">
        <v>335</v>
      </c>
      <c r="F88">
        <v>1944</v>
      </c>
      <c r="G88">
        <v>1950</v>
      </c>
      <c r="H88">
        <v>1965</v>
      </c>
      <c r="J88">
        <v>1700</v>
      </c>
      <c r="L88" s="6">
        <v>18.5</v>
      </c>
      <c r="M88" s="6">
        <v>30</v>
      </c>
      <c r="N88" s="6">
        <v>2</v>
      </c>
      <c r="O88" s="6">
        <v>225</v>
      </c>
      <c r="P88" s="7">
        <f>((($X88/2)/60)*5280)/($Q88*3.2*PI())</f>
        <v>206.68037748739187</v>
      </c>
      <c r="Q88" s="6">
        <v>1.8</v>
      </c>
      <c r="R88" s="6">
        <f>((($L88*$L88/4)*PI())*($M88/12)*$N88*$O88*$P88)/(33000*1.1)</f>
        <v>1721.7832623106062</v>
      </c>
      <c r="S88">
        <v>77</v>
      </c>
      <c r="T88" s="9">
        <v>48</v>
      </c>
      <c r="V88">
        <v>121</v>
      </c>
      <c r="W88" s="4">
        <f t="shared" si="3"/>
        <v>9.6799999999999997E-2</v>
      </c>
      <c r="X88">
        <v>85</v>
      </c>
      <c r="Z88">
        <v>19.2</v>
      </c>
      <c r="AA88">
        <v>11.7</v>
      </c>
      <c r="AC88">
        <v>4.01</v>
      </c>
      <c r="AE88" t="str">
        <f>CONCATENATE(VLOOKUP(AF88, 'Voxel Sizes'!$A$2:$B$18,2,FALSE),"x",INT(AB88*15), "x", INT(AC88*15))</f>
        <v>120x0x60</v>
      </c>
      <c r="AF88">
        <f t="shared" si="4"/>
        <v>7</v>
      </c>
      <c r="AG88" t="s">
        <v>493</v>
      </c>
      <c r="AH88" t="str">
        <f>CONCATENATE(VLOOKUP(AF88,'Articulated Lengths'!$A$2:$C$16,IF(AG88&lt;&gt;"", 3, 2), FALSE),IF(AG88&lt;&gt;"",CONCATENATE(",",VLOOKUP(AG88,$B$2:$AH$219,33,FALSE)),""))</f>
        <v>2,2,3,1,1,3</v>
      </c>
      <c r="AM88" t="s">
        <v>504</v>
      </c>
      <c r="AN88">
        <v>1</v>
      </c>
      <c r="AO88">
        <v>10</v>
      </c>
      <c r="AP88">
        <v>10</v>
      </c>
      <c r="AU88" t="str">
        <f>VLOOKUP(F88,Eras!$A$2:$C$10, 2, TRUE)</f>
        <v>big4</v>
      </c>
      <c r="AV88" t="s">
        <v>389</v>
      </c>
      <c r="AW88" t="str">
        <f t="shared" si="5"/>
        <v>big4_Mixed Traffic</v>
      </c>
      <c r="AX88" t="s">
        <v>557</v>
      </c>
    </row>
    <row r="89" spans="1:50" x14ac:dyDescent="0.25">
      <c r="A89" t="s">
        <v>559</v>
      </c>
      <c r="B89" t="s">
        <v>560</v>
      </c>
      <c r="C89" t="s">
        <v>323</v>
      </c>
      <c r="D89" t="s">
        <v>332</v>
      </c>
      <c r="E89" t="s">
        <v>335</v>
      </c>
      <c r="F89">
        <v>1945</v>
      </c>
      <c r="G89">
        <v>1947</v>
      </c>
      <c r="H89">
        <v>1964</v>
      </c>
      <c r="J89">
        <v>2200</v>
      </c>
      <c r="L89" s="6">
        <v>18.5</v>
      </c>
      <c r="M89" s="6">
        <v>30</v>
      </c>
      <c r="N89" s="6">
        <v>2</v>
      </c>
      <c r="O89" s="6">
        <v>280</v>
      </c>
      <c r="P89" s="7">
        <f>((($X89/2)/60)*5280)/($Q89*3.2*PI())</f>
        <v>230.35583868563802</v>
      </c>
      <c r="Q89" s="6">
        <v>1.9</v>
      </c>
      <c r="R89" s="6">
        <f>((($L89*$L89/4)*PI())*($M89/12)*$N89*$O89*$P89)/(33000*1.1)</f>
        <v>2388.1080542264754</v>
      </c>
      <c r="S89">
        <v>78.099999999999994</v>
      </c>
      <c r="T89" s="9">
        <v>49.8</v>
      </c>
      <c r="V89">
        <v>145</v>
      </c>
      <c r="W89" s="4">
        <f t="shared" si="3"/>
        <v>0.11336982017200939</v>
      </c>
      <c r="X89">
        <v>100</v>
      </c>
      <c r="Z89">
        <v>19.21</v>
      </c>
      <c r="AA89">
        <v>11.7</v>
      </c>
      <c r="AC89">
        <v>4.08</v>
      </c>
      <c r="AE89" t="str">
        <f>CONCATENATE(VLOOKUP(AF89, 'Voxel Sizes'!$A$2:$B$18,2,FALSE),"x",INT(AB89*15), "x", INT(AC89*15))</f>
        <v>120x0x61</v>
      </c>
      <c r="AF89">
        <f t="shared" si="4"/>
        <v>7</v>
      </c>
      <c r="AG89" t="s">
        <v>493</v>
      </c>
      <c r="AH89" t="str">
        <f>CONCATENATE(VLOOKUP(AF89,'Articulated Lengths'!$A$2:$C$16,IF(AG89&lt;&gt;"", 3, 2), FALSE),IF(AG89&lt;&gt;"",CONCATENATE(",",VLOOKUP(AG89,$B$2:$AH$219,33,FALSE)),""))</f>
        <v>2,2,3,1,1,3</v>
      </c>
      <c r="AN89">
        <v>1</v>
      </c>
      <c r="AO89">
        <v>10</v>
      </c>
      <c r="AP89">
        <v>10</v>
      </c>
      <c r="AU89" t="str">
        <f>VLOOKUP(F89,Eras!$A$2:$C$10, 2, TRUE)</f>
        <v>big4</v>
      </c>
      <c r="AV89" t="s">
        <v>390</v>
      </c>
      <c r="AW89" t="str">
        <f t="shared" si="5"/>
        <v>big4_Express</v>
      </c>
      <c r="AX89" t="s">
        <v>561</v>
      </c>
    </row>
    <row r="90" spans="1:50" x14ac:dyDescent="0.25">
      <c r="A90" t="s">
        <v>37</v>
      </c>
      <c r="B90" t="s">
        <v>563</v>
      </c>
      <c r="C90" t="s">
        <v>323</v>
      </c>
      <c r="D90" t="s">
        <v>332</v>
      </c>
      <c r="E90" t="s">
        <v>335</v>
      </c>
      <c r="F90">
        <v>1945</v>
      </c>
      <c r="G90">
        <v>1951</v>
      </c>
      <c r="H90">
        <v>1967</v>
      </c>
      <c r="J90">
        <v>1800</v>
      </c>
      <c r="L90" s="6">
        <v>16.375</v>
      </c>
      <c r="M90" s="6">
        <v>24</v>
      </c>
      <c r="N90" s="6">
        <v>3</v>
      </c>
      <c r="O90" s="6">
        <v>280</v>
      </c>
      <c r="P90" s="7">
        <f>((($X90/2)/60)*5280)/($Q90*3.2*PI())</f>
        <v>234.96295545935078</v>
      </c>
      <c r="Q90" s="6">
        <v>1.9</v>
      </c>
      <c r="R90" s="6">
        <f>((($L90*$L90/4)*PI())*($M90/12)*$N90*$O90*$P90)/(33000*1.1)</f>
        <v>2290.1005532296649</v>
      </c>
      <c r="S90">
        <v>87.4</v>
      </c>
      <c r="T90" s="9">
        <v>48</v>
      </c>
      <c r="V90">
        <v>138</v>
      </c>
      <c r="W90" s="4">
        <f t="shared" si="3"/>
        <v>0.10192023633677991</v>
      </c>
      <c r="X90">
        <v>102</v>
      </c>
      <c r="Z90">
        <v>20.54</v>
      </c>
      <c r="AA90">
        <v>13</v>
      </c>
      <c r="AE90" t="str">
        <f>CONCATENATE(VLOOKUP(AF90, 'Voxel Sizes'!$A$2:$B$18,2,FALSE),"x",INT(AB90*15), "x", INT(AC90*15))</f>
        <v>136x0x0</v>
      </c>
      <c r="AF90">
        <f t="shared" si="4"/>
        <v>8</v>
      </c>
      <c r="AG90" t="s">
        <v>542</v>
      </c>
      <c r="AH90" t="str">
        <f>CONCATENATE(VLOOKUP(AF90,'Articulated Lengths'!$A$2:$C$16,IF(AG90&lt;&gt;"", 3, 2), FALSE),IF(AG90&lt;&gt;"",CONCATENATE(",",VLOOKUP(AG90,$B$2:$AH$219,33,FALSE)),""))</f>
        <v>2,2,4,1,1,3</v>
      </c>
      <c r="AN90">
        <v>1</v>
      </c>
      <c r="AO90">
        <v>10</v>
      </c>
      <c r="AP90">
        <v>10</v>
      </c>
      <c r="AU90" t="str">
        <f>VLOOKUP(F90,Eras!$A$2:$C$10, 2, TRUE)</f>
        <v>big4</v>
      </c>
      <c r="AV90" t="s">
        <v>389</v>
      </c>
      <c r="AW90" t="str">
        <f t="shared" si="5"/>
        <v>big4_Mixed Traffic</v>
      </c>
      <c r="AX90" t="s">
        <v>562</v>
      </c>
    </row>
    <row r="91" spans="1:50" x14ac:dyDescent="0.25">
      <c r="A91" t="s">
        <v>41</v>
      </c>
      <c r="B91" t="s">
        <v>565</v>
      </c>
      <c r="C91" t="s">
        <v>323</v>
      </c>
      <c r="D91" t="s">
        <v>332</v>
      </c>
      <c r="E91" t="s">
        <v>335</v>
      </c>
      <c r="F91">
        <v>1946</v>
      </c>
      <c r="G91">
        <v>1949</v>
      </c>
      <c r="H91">
        <v>1951</v>
      </c>
      <c r="J91">
        <v>1800</v>
      </c>
      <c r="L91" s="6">
        <v>12.25</v>
      </c>
      <c r="M91" s="6">
        <v>15</v>
      </c>
      <c r="N91" s="6">
        <v>6</v>
      </c>
      <c r="O91" s="6">
        <v>280</v>
      </c>
      <c r="P91" s="7">
        <f>((($X91/2)/60)*5280)/($Q91*3.2*PI())</f>
        <v>262.60565610162729</v>
      </c>
      <c r="Q91" s="6">
        <v>1.5</v>
      </c>
      <c r="R91" s="6">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FALSE),IF(AG91&lt;&gt;"",CONCATENATE(",",VLOOKUP(AG91,$B$2:$AH$219,33,FALSE)),""))</f>
        <v>3,3,6</v>
      </c>
      <c r="AO91">
        <v>10</v>
      </c>
      <c r="AP91">
        <v>10</v>
      </c>
      <c r="AU91" t="str">
        <f>VLOOKUP(F91,Eras!$A$2:$C$10, 2, TRUE)</f>
        <v>big4</v>
      </c>
      <c r="AV91" t="s">
        <v>389</v>
      </c>
      <c r="AW91" t="str">
        <f t="shared" si="5"/>
        <v>big4_Mixed Traffic</v>
      </c>
      <c r="AX91" t="s">
        <v>564</v>
      </c>
    </row>
    <row r="92" spans="1:50" x14ac:dyDescent="0.25">
      <c r="A92" t="s">
        <v>569</v>
      </c>
      <c r="B92" t="s">
        <v>568</v>
      </c>
      <c r="C92" t="s">
        <v>352</v>
      </c>
      <c r="E92" t="s">
        <v>335</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FALSE),IF(AG92&lt;&gt;"",CONCATENATE(",",VLOOKUP(AG92,$B$2:$AH$219,33,FALSE)),""))</f>
        <v>1,1,2</v>
      </c>
      <c r="AU92" t="str">
        <f>VLOOKUP(F92,Eras!$A$2:$C$10, 2, TRUE)</f>
        <v>big4</v>
      </c>
      <c r="AW92" t="str">
        <f t="shared" si="5"/>
        <v>big4_</v>
      </c>
    </row>
    <row r="93" spans="1:50" x14ac:dyDescent="0.25">
      <c r="A93" t="s">
        <v>566</v>
      </c>
      <c r="B93" t="s">
        <v>567</v>
      </c>
      <c r="C93" t="s">
        <v>323</v>
      </c>
      <c r="D93" t="s">
        <v>332</v>
      </c>
      <c r="E93" t="s">
        <v>335</v>
      </c>
      <c r="F93">
        <v>1946</v>
      </c>
      <c r="G93">
        <v>1953</v>
      </c>
      <c r="H93">
        <v>1967</v>
      </c>
      <c r="J93">
        <v>1000</v>
      </c>
      <c r="L93" s="6">
        <v>16</v>
      </c>
      <c r="M93" s="6">
        <v>24</v>
      </c>
      <c r="N93" s="6">
        <v>2</v>
      </c>
      <c r="O93" s="6">
        <v>200</v>
      </c>
      <c r="P93" s="7">
        <f>((($X93/2)/60)*5280)/($Q93*3.2*PI())</f>
        <v>233.42724986811314</v>
      </c>
      <c r="Q93" s="6">
        <v>1.5</v>
      </c>
      <c r="R93" s="6">
        <f>((($L93*$L93/4)*PI())*($M93/12)*$N93*$O93*$P93)/(33000*1.1)</f>
        <v>1034.3434343434342</v>
      </c>
      <c r="S93">
        <v>47.9</v>
      </c>
      <c r="T93" s="9">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568</v>
      </c>
      <c r="AH93" t="str">
        <f>CONCATENATE(VLOOKUP(AF93,'Articulated Lengths'!$A$2:$C$16,IF(AG93&lt;&gt;"", 3, 2), FALSE),IF(AG93&lt;&gt;"",CONCATENATE(",",VLOOKUP(AG93,$B$2:$AH$219,33,FALSE)),""))</f>
        <v>2,2,2,1,1,2</v>
      </c>
      <c r="AN93">
        <v>1</v>
      </c>
      <c r="AO93">
        <v>10</v>
      </c>
      <c r="AP93">
        <v>10</v>
      </c>
      <c r="AU93" t="str">
        <f>VLOOKUP(F93,Eras!$A$2:$C$10, 2, TRUE)</f>
        <v>big4</v>
      </c>
      <c r="AV93" t="s">
        <v>388</v>
      </c>
      <c r="AW93" t="str">
        <f t="shared" si="5"/>
        <v>big4_Cheap</v>
      </c>
      <c r="AX93" t="s">
        <v>570</v>
      </c>
    </row>
    <row r="94" spans="1:50" x14ac:dyDescent="0.25">
      <c r="A94" t="s">
        <v>69</v>
      </c>
      <c r="B94" t="s">
        <v>208</v>
      </c>
      <c r="C94" t="s">
        <v>323</v>
      </c>
      <c r="D94" t="s">
        <v>333</v>
      </c>
      <c r="E94" t="s">
        <v>335</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FALSE),IF(AG94&lt;&gt;"",CONCATENATE(",",VLOOKUP(AG94,$B$2:$AH$219,33,FALSE)),""))</f>
        <v>3,3,5</v>
      </c>
      <c r="AO94">
        <v>10</v>
      </c>
      <c r="AP94">
        <v>10</v>
      </c>
      <c r="AU94" t="str">
        <f>VLOOKUP(F94,Eras!$A$2:$C$10, 2, TRUE)</f>
        <v>big4</v>
      </c>
      <c r="AV94" t="s">
        <v>389</v>
      </c>
      <c r="AW94" t="str">
        <f t="shared" si="5"/>
        <v>big4_Mixed Traffic</v>
      </c>
      <c r="AX94" t="s">
        <v>571</v>
      </c>
    </row>
    <row r="95" spans="1:50" x14ac:dyDescent="0.25">
      <c r="A95" t="s">
        <v>25</v>
      </c>
      <c r="B95" t="s">
        <v>573</v>
      </c>
      <c r="C95" t="s">
        <v>323</v>
      </c>
      <c r="D95" t="s">
        <v>332</v>
      </c>
      <c r="E95" t="s">
        <v>335</v>
      </c>
      <c r="F95">
        <v>1948</v>
      </c>
      <c r="G95">
        <v>1949</v>
      </c>
      <c r="H95">
        <v>1966</v>
      </c>
      <c r="J95">
        <v>2700</v>
      </c>
      <c r="L95" s="6">
        <v>19</v>
      </c>
      <c r="M95" s="6">
        <v>26</v>
      </c>
      <c r="N95" s="6">
        <v>3</v>
      </c>
      <c r="O95" s="6">
        <v>250</v>
      </c>
      <c r="P95" s="7">
        <f>((($X95/2)/60)*5280)/($Q95*3.2*PI())</f>
        <v>215.60398694714888</v>
      </c>
      <c r="Q95" s="6">
        <v>2.0299999999999998</v>
      </c>
      <c r="R95" s="6">
        <f>((($L95*$L95/4)*PI())*($M95/12)*$N95*$O95*$P95)/(33000*1.1)</f>
        <v>2736.5325048514705</v>
      </c>
      <c r="S95">
        <v>106.9</v>
      </c>
      <c r="T95" s="9">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508</v>
      </c>
      <c r="AH95" t="str">
        <f>CONCATENATE(VLOOKUP(AF95,'Articulated Lengths'!$A$2:$C$16,IF(AG95&lt;&gt;"", 3, 2), FALSE),IF(AG95&lt;&gt;"",CONCATENATE(",",VLOOKUP(AG95,$B$2:$AH$219,33,FALSE)),""))</f>
        <v>2,2,5,1,1,3</v>
      </c>
      <c r="AN95">
        <v>1</v>
      </c>
      <c r="AO95">
        <v>10</v>
      </c>
      <c r="AP95">
        <v>10</v>
      </c>
      <c r="AU95" t="str">
        <f>VLOOKUP(F95,Eras!$A$2:$C$10, 2, TRUE)</f>
        <v>ebr</v>
      </c>
      <c r="AV95" t="s">
        <v>390</v>
      </c>
      <c r="AW95" t="str">
        <f t="shared" si="5"/>
        <v>ebr_Express</v>
      </c>
      <c r="AX95" t="s">
        <v>572</v>
      </c>
    </row>
    <row r="96" spans="1:50" x14ac:dyDescent="0.25">
      <c r="A96" t="s">
        <v>73</v>
      </c>
      <c r="B96" t="s">
        <v>308</v>
      </c>
      <c r="C96" t="s">
        <v>323</v>
      </c>
      <c r="D96" t="s">
        <v>357</v>
      </c>
      <c r="E96" t="s">
        <v>358</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FALSE),IF(AG96&lt;&gt;"",CONCATENATE(",",VLOOKUP(AG96,$B$2:$AH$219,33,FALSE)),""))</f>
        <v>2,2,5</v>
      </c>
      <c r="AO96">
        <v>10</v>
      </c>
      <c r="AP96">
        <v>10</v>
      </c>
      <c r="AU96" t="str">
        <f>VLOOKUP(F96,Eras!$A$2:$C$10, 2, TRUE)</f>
        <v>ebr</v>
      </c>
      <c r="AV96" t="s">
        <v>401</v>
      </c>
      <c r="AW96" t="str">
        <f t="shared" si="5"/>
        <v>ebr_Freight (Electric)</v>
      </c>
      <c r="AX96" t="s">
        <v>417</v>
      </c>
    </row>
    <row r="97" spans="1:50" x14ac:dyDescent="0.25">
      <c r="A97" t="s">
        <v>584</v>
      </c>
      <c r="B97" t="s">
        <v>578</v>
      </c>
      <c r="C97" t="s">
        <v>323</v>
      </c>
      <c r="D97" t="s">
        <v>332</v>
      </c>
      <c r="E97" t="s">
        <v>335</v>
      </c>
      <c r="F97">
        <v>1951</v>
      </c>
      <c r="G97">
        <v>1952</v>
      </c>
      <c r="H97">
        <v>1966</v>
      </c>
      <c r="J97">
        <v>1500</v>
      </c>
      <c r="L97" s="6">
        <v>19.5</v>
      </c>
      <c r="M97" s="6">
        <v>28</v>
      </c>
      <c r="N97" s="6">
        <v>2</v>
      </c>
      <c r="O97" s="6">
        <v>225</v>
      </c>
      <c r="P97" s="7">
        <f>((($X97/2)/60)*5280)/($Q97*3.2*PI())</f>
        <v>184.28467094851041</v>
      </c>
      <c r="Q97" s="6">
        <v>1.9</v>
      </c>
      <c r="R97" s="6">
        <f>((($L97*$L97/4)*PI())*($M97/12)*$N97*$O97*$P97)/(33000*1.1)</f>
        <v>1591.9557416267944</v>
      </c>
      <c r="S97">
        <v>89.92</v>
      </c>
      <c r="T97" s="9">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513</v>
      </c>
      <c r="AH97" t="str">
        <f>CONCATENATE(VLOOKUP(AF97,'Articulated Lengths'!$A$2:$C$16,IF(AG97&lt;&gt;"", 3, 2), FALSE),IF(AG97&lt;&gt;"",CONCATENATE(",",VLOOKUP(AG97,$B$2:$AH$219,33,FALSE)),""))</f>
        <v>2,2,4,1,1,3</v>
      </c>
      <c r="AN97">
        <v>1</v>
      </c>
      <c r="AO97">
        <v>10</v>
      </c>
      <c r="AP97">
        <v>10</v>
      </c>
      <c r="AU97" t="str">
        <f>VLOOKUP(F97,Eras!$A$2:$C$10, 2, TRUE)</f>
        <v>ebr</v>
      </c>
      <c r="AV97" t="s">
        <v>389</v>
      </c>
      <c r="AW97" t="str">
        <f t="shared" si="5"/>
        <v>ebr_Mixed Traffic</v>
      </c>
      <c r="AX97" t="s">
        <v>582</v>
      </c>
    </row>
    <row r="98" spans="1:50" x14ac:dyDescent="0.25">
      <c r="A98" t="s">
        <v>585</v>
      </c>
      <c r="B98" t="s">
        <v>579</v>
      </c>
      <c r="C98" t="s">
        <v>323</v>
      </c>
      <c r="D98" t="s">
        <v>332</v>
      </c>
      <c r="E98" t="s">
        <v>335</v>
      </c>
      <c r="F98">
        <v>1951</v>
      </c>
      <c r="G98">
        <v>1954</v>
      </c>
      <c r="H98">
        <v>1968</v>
      </c>
      <c r="J98">
        <v>2000</v>
      </c>
      <c r="L98" s="6">
        <v>20</v>
      </c>
      <c r="M98" s="6">
        <v>28</v>
      </c>
      <c r="N98" s="6">
        <v>2</v>
      </c>
      <c r="O98" s="6">
        <v>250</v>
      </c>
      <c r="P98" s="7">
        <f>((($X98/2)/60)*5280)/($Q98*3.2*PI())</f>
        <v>207.32025481707421</v>
      </c>
      <c r="Q98" s="6">
        <v>1.9</v>
      </c>
      <c r="R98" s="6">
        <f>((($L98*$L98/4)*PI())*($M98/12)*$N98*$O98*$P98)/(33000*1.1)</f>
        <v>2093.3014354066986</v>
      </c>
      <c r="S98">
        <v>95.5</v>
      </c>
      <c r="T98" s="9">
        <v>50</v>
      </c>
      <c r="V98">
        <v>143</v>
      </c>
      <c r="W98" s="4">
        <f t="shared" si="3"/>
        <v>9.8281786941580754E-2</v>
      </c>
      <c r="X98">
        <v>90</v>
      </c>
      <c r="Z98">
        <v>20.96</v>
      </c>
      <c r="AA98">
        <f>Z98-7.5</f>
        <v>13.46</v>
      </c>
      <c r="AC98">
        <v>3.98</v>
      </c>
      <c r="AE98" t="str">
        <f>CONCATENATE(VLOOKUP(AF98, 'Voxel Sizes'!$A$2:$B$18,2,FALSE),"x",INT(AB98*15), "x", INT(AC98*15))</f>
        <v>136x0x59</v>
      </c>
      <c r="AF98">
        <f t="shared" si="4"/>
        <v>8</v>
      </c>
      <c r="AG98" t="s">
        <v>513</v>
      </c>
      <c r="AH98" t="str">
        <f>CONCATENATE(VLOOKUP(AF98,'Articulated Lengths'!$A$2:$C$16,IF(AG98&lt;&gt;"", 3, 2), FALSE),IF(AG98&lt;&gt;"",CONCATENATE(",",VLOOKUP(AG98,$B$2:$AH$219,33,FALSE)),""))</f>
        <v>2,2,4,1,1,3</v>
      </c>
      <c r="AN98">
        <v>1</v>
      </c>
      <c r="AO98">
        <v>10</v>
      </c>
      <c r="AP98">
        <v>10</v>
      </c>
      <c r="AU98" t="str">
        <f>VLOOKUP(F98,Eras!$A$2:$C$10, 2, TRUE)</f>
        <v>ebr</v>
      </c>
      <c r="AV98" t="s">
        <v>389</v>
      </c>
      <c r="AW98" t="str">
        <f t="shared" si="5"/>
        <v>ebr_Mixed Traffic</v>
      </c>
      <c r="AX98" t="s">
        <v>581</v>
      </c>
    </row>
    <row r="99" spans="1:50" x14ac:dyDescent="0.25">
      <c r="A99" t="s">
        <v>131</v>
      </c>
      <c r="B99" t="s">
        <v>319</v>
      </c>
      <c r="C99" t="s">
        <v>342</v>
      </c>
      <c r="E99" t="s">
        <v>335</v>
      </c>
      <c r="F99">
        <v>1951</v>
      </c>
      <c r="G99">
        <v>1963</v>
      </c>
      <c r="H99">
        <v>1974</v>
      </c>
      <c r="S99">
        <v>32.5</v>
      </c>
      <c r="U99">
        <v>9</v>
      </c>
      <c r="W99" s="4" t="str">
        <f t="shared" si="3"/>
        <v/>
      </c>
      <c r="X99">
        <v>100</v>
      </c>
      <c r="Z99">
        <v>19.3</v>
      </c>
      <c r="AA99">
        <v>20</v>
      </c>
      <c r="AD99" s="11">
        <v>54</v>
      </c>
      <c r="AE99" t="str">
        <f>CONCATENATE(VLOOKUP(AF99, 'Voxel Sizes'!$A$2:$B$18,2,FALSE),"x",INT(AB99*15), "x", INT(AC99*15))</f>
        <v>198x0x0</v>
      </c>
      <c r="AF99">
        <f t="shared" si="4"/>
        <v>12</v>
      </c>
      <c r="AH99" t="str">
        <f>CONCATENATE(VLOOKUP(AF99,'Articulated Lengths'!$A$2:$C$16,IF(AG99&lt;&gt;"", 3, 2), FALSE),IF(AG99&lt;&gt;"",CONCATENATE(",",VLOOKUP(AG99,$B$2:$AH$219,33,FALSE)),""))</f>
        <v>3,3,6</v>
      </c>
      <c r="AO99">
        <v>10</v>
      </c>
      <c r="AP99">
        <v>10</v>
      </c>
      <c r="AT99" t="s">
        <v>344</v>
      </c>
      <c r="AU99" t="str">
        <f>VLOOKUP(F99,Eras!$A$2:$C$10, 2, TRUE)</f>
        <v>ebr</v>
      </c>
      <c r="AV99" t="s">
        <v>397</v>
      </c>
      <c r="AW99" t="str">
        <f t="shared" si="5"/>
        <v>ebr_Carriage</v>
      </c>
      <c r="AX99" t="s">
        <v>714</v>
      </c>
    </row>
    <row r="100" spans="1:50" x14ac:dyDescent="0.25">
      <c r="A100" t="s">
        <v>77</v>
      </c>
      <c r="B100" t="s">
        <v>209</v>
      </c>
      <c r="C100" t="s">
        <v>323</v>
      </c>
      <c r="D100" t="s">
        <v>333</v>
      </c>
      <c r="E100" t="s">
        <v>335</v>
      </c>
      <c r="F100">
        <v>1952</v>
      </c>
      <c r="G100">
        <v>1962</v>
      </c>
      <c r="J100">
        <v>350</v>
      </c>
      <c r="S100">
        <v>49.8</v>
      </c>
      <c r="V100">
        <v>160</v>
      </c>
      <c r="W100" s="4">
        <f t="shared" si="3"/>
        <v>0.32128514056224899</v>
      </c>
      <c r="X100">
        <v>20</v>
      </c>
      <c r="Z100">
        <v>8.92</v>
      </c>
      <c r="AA100">
        <v>9.5</v>
      </c>
      <c r="AB100">
        <v>2.59</v>
      </c>
      <c r="AC100">
        <v>3.87</v>
      </c>
      <c r="AE100" t="str">
        <f>CONCATENATE(VLOOKUP(AF100, 'Voxel Sizes'!$A$2:$B$18,2,FALSE),"x",INT(AB100*15), "x", INT(AC100*15))</f>
        <v>102x38x58</v>
      </c>
      <c r="AF100">
        <f t="shared" si="4"/>
        <v>6</v>
      </c>
      <c r="AH100" t="str">
        <f>CONCATENATE(VLOOKUP(AF100,'Articulated Lengths'!$A$2:$C$16,IF(AG100&lt;&gt;"", 3, 2), FALSE),IF(AG100&lt;&gt;"",CONCATENATE(",",VLOOKUP(AG100,$B$2:$AH$219,33,FALSE)),""))</f>
        <v>2,2,2</v>
      </c>
      <c r="AN100">
        <v>1</v>
      </c>
      <c r="AO100">
        <v>10</v>
      </c>
      <c r="AP100">
        <v>10</v>
      </c>
      <c r="AU100" t="str">
        <f>VLOOKUP(F100,Eras!$A$2:$C$10, 2, TRUE)</f>
        <v>ebr</v>
      </c>
      <c r="AV100" t="s">
        <v>388</v>
      </c>
      <c r="AW100" t="str">
        <f t="shared" si="5"/>
        <v>ebr_Cheap</v>
      </c>
      <c r="AX100" t="s">
        <v>418</v>
      </c>
    </row>
    <row r="101" spans="1:50" x14ac:dyDescent="0.25">
      <c r="A101" t="s">
        <v>74</v>
      </c>
      <c r="B101" t="s">
        <v>309</v>
      </c>
      <c r="C101" t="s">
        <v>323</v>
      </c>
      <c r="D101" t="s">
        <v>357</v>
      </c>
      <c r="E101" t="s">
        <v>358</v>
      </c>
      <c r="F101">
        <v>1953</v>
      </c>
      <c r="G101">
        <v>1954</v>
      </c>
      <c r="H101">
        <v>1968</v>
      </c>
      <c r="J101">
        <v>2490</v>
      </c>
      <c r="S101">
        <v>104.1</v>
      </c>
      <c r="V101">
        <v>200</v>
      </c>
      <c r="W101" s="4">
        <f t="shared" si="3"/>
        <v>0.19212295869356388</v>
      </c>
      <c r="X101">
        <v>90</v>
      </c>
      <c r="Z101">
        <v>17.98</v>
      </c>
      <c r="AA101">
        <v>17.98</v>
      </c>
      <c r="AE101" t="str">
        <f>CONCATENATE(VLOOKUP(AF101, 'Voxel Sizes'!$A$2:$B$18,2,FALSE),"x",INT(AB101*15), "x", INT(AC101*15))</f>
        <v>186x0x0</v>
      </c>
      <c r="AF101">
        <f t="shared" si="4"/>
        <v>11</v>
      </c>
      <c r="AH101" t="str">
        <f>CONCATENATE(VLOOKUP(AF101,'Articulated Lengths'!$A$2:$C$16,IF(AG101&lt;&gt;"", 3, 2), FALSE),IF(AG101&lt;&gt;"",CONCATENATE(",",VLOOKUP(AG101,$B$2:$AH$219,33,FALSE)),""))</f>
        <v>3,3,5</v>
      </c>
      <c r="AO101">
        <v>10</v>
      </c>
      <c r="AP101">
        <v>10</v>
      </c>
      <c r="AU101" t="str">
        <f>VLOOKUP(F101,Eras!$A$2:$C$10, 2, TRUE)</f>
        <v>ebr</v>
      </c>
      <c r="AV101" t="s">
        <v>400</v>
      </c>
      <c r="AW101" t="str">
        <f t="shared" si="5"/>
        <v>ebr_Express (Electric)</v>
      </c>
      <c r="AX101" t="s">
        <v>583</v>
      </c>
    </row>
    <row r="102" spans="1:50" x14ac:dyDescent="0.25">
      <c r="A102" t="s">
        <v>577</v>
      </c>
      <c r="B102" t="s">
        <v>580</v>
      </c>
      <c r="C102" t="s">
        <v>323</v>
      </c>
      <c r="D102" t="s">
        <v>332</v>
      </c>
      <c r="E102" t="s">
        <v>335</v>
      </c>
      <c r="F102">
        <v>1954</v>
      </c>
      <c r="G102">
        <v>1960</v>
      </c>
      <c r="H102">
        <v>1968</v>
      </c>
      <c r="J102">
        <v>2500</v>
      </c>
      <c r="L102" s="6">
        <v>20</v>
      </c>
      <c r="M102" s="6">
        <v>28</v>
      </c>
      <c r="N102" s="6">
        <v>2</v>
      </c>
      <c r="O102" s="6">
        <v>250</v>
      </c>
      <c r="P102" s="7">
        <f>((($X102/2)/60)*5280)/($Q102*3.2*PI())</f>
        <v>262.60565610162729</v>
      </c>
      <c r="Q102" s="6">
        <v>1.5</v>
      </c>
      <c r="R102" s="6">
        <f>((($L102*$L102/4)*PI())*($M102/12)*$N102*$O102*$P102)/(33000*1.1)</f>
        <v>2651.515151515151</v>
      </c>
      <c r="S102">
        <v>90</v>
      </c>
      <c r="T102" s="9">
        <v>51</v>
      </c>
      <c r="V102">
        <v>176</v>
      </c>
      <c r="W102" s="4">
        <f t="shared" si="3"/>
        <v>0.12482269503546099</v>
      </c>
      <c r="X102">
        <v>90</v>
      </c>
      <c r="Z102">
        <v>20.170000000000002</v>
      </c>
      <c r="AA102">
        <v>15</v>
      </c>
      <c r="AE102" t="str">
        <f>CONCATENATE(VLOOKUP(AF102, 'Voxel Sizes'!$A$2:$B$18,2,FALSE),"x",INT(AB102*15), "x", INT(AC102*15))</f>
        <v>152x0x0</v>
      </c>
      <c r="AF102">
        <f t="shared" si="4"/>
        <v>9</v>
      </c>
      <c r="AG102" t="s">
        <v>513</v>
      </c>
      <c r="AH102" t="str">
        <f>CONCATENATE(VLOOKUP(AF102,'Articulated Lengths'!$A$2:$C$16,IF(AG102&lt;&gt;"", 3, 2), FALSE),IF(AG102&lt;&gt;"",CONCATENATE(",",VLOOKUP(AG102,$B$2:$AH$219,33,FALSE)),""))</f>
        <v>2,2,5,1,1,3</v>
      </c>
      <c r="AN102">
        <v>1</v>
      </c>
      <c r="AO102">
        <v>10</v>
      </c>
      <c r="AP102">
        <v>10</v>
      </c>
      <c r="AU102" t="str">
        <f>VLOOKUP(F102,Eras!$A$2:$C$10, 2, TRUE)</f>
        <v>ebr</v>
      </c>
      <c r="AV102" t="s">
        <v>391</v>
      </c>
      <c r="AW102" t="str">
        <f t="shared" si="5"/>
        <v>ebr_Freight</v>
      </c>
      <c r="AX102" t="s">
        <v>586</v>
      </c>
    </row>
    <row r="103" spans="1:50" x14ac:dyDescent="0.25">
      <c r="A103" t="s">
        <v>97</v>
      </c>
      <c r="B103" t="s">
        <v>232</v>
      </c>
      <c r="C103" t="s">
        <v>475</v>
      </c>
      <c r="D103" t="s">
        <v>357</v>
      </c>
      <c r="E103" t="s">
        <v>358</v>
      </c>
      <c r="F103">
        <v>1954</v>
      </c>
      <c r="H103">
        <v>1984</v>
      </c>
      <c r="I103">
        <v>3</v>
      </c>
      <c r="J103">
        <v>740</v>
      </c>
      <c r="S103">
        <f>51.4+26.8+27.9</f>
        <v>106.1</v>
      </c>
      <c r="V103">
        <v>110</v>
      </c>
      <c r="W103" s="4">
        <f t="shared" si="3"/>
        <v>0.10367577756833177</v>
      </c>
      <c r="X103">
        <v>75</v>
      </c>
      <c r="Z103">
        <v>18.100000000000001</v>
      </c>
      <c r="AA103">
        <v>18.100000000000001</v>
      </c>
      <c r="AB103">
        <v>2.82</v>
      </c>
      <c r="AC103">
        <v>3.87</v>
      </c>
      <c r="AD103" s="11">
        <v>57</v>
      </c>
      <c r="AE103" t="str">
        <f>CONCATENATE(VLOOKUP(AF103, 'Voxel Sizes'!$A$2:$B$18,2,FALSE),"x",INT(AB103*15), "x", INT(AC103*15))</f>
        <v>186x42x58</v>
      </c>
      <c r="AF103">
        <f t="shared" si="4"/>
        <v>11</v>
      </c>
      <c r="AH103" t="str">
        <f>CONCATENATE(VLOOKUP(AF103,'Articulated Lengths'!$A$2:$C$16,IF(AG103&lt;&gt;"", 3, 2), FALSE),IF(AG103&lt;&gt;"",CONCATENATE(",",VLOOKUP(AG103,$B$2:$AH$219,33,FALSE)),""))</f>
        <v>3,3,5</v>
      </c>
      <c r="AJ103" t="s">
        <v>702</v>
      </c>
      <c r="AL103" t="s">
        <v>353</v>
      </c>
      <c r="AO103">
        <v>10</v>
      </c>
      <c r="AP103">
        <v>10</v>
      </c>
      <c r="AT103" t="s">
        <v>344</v>
      </c>
      <c r="AU103" t="str">
        <f>VLOOKUP(F103,Eras!$A$2:$C$10, 2, TRUE)</f>
        <v>ebr</v>
      </c>
      <c r="AV103" t="s">
        <v>395</v>
      </c>
      <c r="AW103" t="str">
        <f t="shared" si="5"/>
        <v>ebr_EMU</v>
      </c>
      <c r="AX103" t="s">
        <v>703</v>
      </c>
    </row>
    <row r="104" spans="1:50" x14ac:dyDescent="0.25">
      <c r="A104" t="s">
        <v>49</v>
      </c>
      <c r="B104" t="s">
        <v>328</v>
      </c>
      <c r="C104" t="s">
        <v>323</v>
      </c>
      <c r="D104" t="s">
        <v>333</v>
      </c>
      <c r="E104" t="s">
        <v>335</v>
      </c>
      <c r="F104">
        <v>1955</v>
      </c>
      <c r="G104">
        <v>1962</v>
      </c>
      <c r="H104">
        <v>1982</v>
      </c>
      <c r="J104">
        <v>3300</v>
      </c>
      <c r="S104">
        <v>108</v>
      </c>
      <c r="V104">
        <v>233</v>
      </c>
      <c r="W104" s="4">
        <f t="shared" si="3"/>
        <v>0.21574074074074073</v>
      </c>
      <c r="X104">
        <v>106</v>
      </c>
      <c r="Z104">
        <v>21.18</v>
      </c>
      <c r="AA104">
        <v>21.18</v>
      </c>
      <c r="AC104">
        <v>3.91</v>
      </c>
      <c r="AE104" t="str">
        <f>CONCATENATE(VLOOKUP(AF104, 'Voxel Sizes'!$A$2:$B$18,2,FALSE),"x",INT(AB104*15), "x", INT(AC104*15))</f>
        <v>198x0x58</v>
      </c>
      <c r="AF104">
        <f t="shared" si="4"/>
        <v>12</v>
      </c>
      <c r="AH104" t="str">
        <f>CONCATENATE(VLOOKUP(AF104,'Articulated Lengths'!$A$2:$C$16,IF(AG104&lt;&gt;"", 3, 2), FALSE),IF(AG104&lt;&gt;"",CONCATENATE(",",VLOOKUP(AG104,$B$2:$AH$219,33,FALSE)),""))</f>
        <v>3,3,6</v>
      </c>
      <c r="AO104">
        <v>10</v>
      </c>
      <c r="AP104">
        <v>10</v>
      </c>
      <c r="AU104" t="str">
        <f>VLOOKUP(F104,Eras!$A$2:$C$10, 2, TRUE)</f>
        <v>dsl</v>
      </c>
      <c r="AV104" t="s">
        <v>390</v>
      </c>
      <c r="AW104" t="str">
        <f t="shared" si="5"/>
        <v>dsl_Express</v>
      </c>
      <c r="AX104" t="s">
        <v>587</v>
      </c>
    </row>
    <row r="105" spans="1:50" x14ac:dyDescent="0.25">
      <c r="A105" t="s">
        <v>82</v>
      </c>
      <c r="B105" t="s">
        <v>293</v>
      </c>
      <c r="C105" t="s">
        <v>475</v>
      </c>
      <c r="D105" t="s">
        <v>333</v>
      </c>
      <c r="E105" t="s">
        <v>335</v>
      </c>
      <c r="F105">
        <v>1956</v>
      </c>
      <c r="G105">
        <v>1960</v>
      </c>
      <c r="H105">
        <v>2003</v>
      </c>
      <c r="I105">
        <v>2</v>
      </c>
      <c r="J105">
        <v>600</v>
      </c>
      <c r="S105">
        <f>32.5+25</f>
        <v>57.5</v>
      </c>
      <c r="V105">
        <v>85</v>
      </c>
      <c r="W105" s="4">
        <f t="shared" si="3"/>
        <v>0.14782608695652175</v>
      </c>
      <c r="X105">
        <v>70</v>
      </c>
      <c r="Z105">
        <v>17.37</v>
      </c>
      <c r="AA105">
        <v>17.37</v>
      </c>
      <c r="AC105">
        <v>3.77</v>
      </c>
      <c r="AD105" s="11">
        <v>51</v>
      </c>
      <c r="AE105" t="str">
        <f>CONCATENATE(VLOOKUP(AF105, 'Voxel Sizes'!$A$2:$B$18,2,FALSE),"x",INT(AB105*15), "x", INT(AC105*15))</f>
        <v>164x0x56</v>
      </c>
      <c r="AF105">
        <f t="shared" si="4"/>
        <v>10</v>
      </c>
      <c r="AH105" t="str">
        <f>CONCATENATE(VLOOKUP(AF105,'Articulated Lengths'!$A$2:$C$16,IF(AG105&lt;&gt;"", 3, 2), FALSE),IF(AG105&lt;&gt;"",CONCATENATE(",",VLOOKUP(AG105,$B$2:$AH$219,33,FALSE)),""))</f>
        <v>3,3,4</v>
      </c>
      <c r="AJ105" t="s">
        <v>589</v>
      </c>
      <c r="AL105" t="s">
        <v>540</v>
      </c>
      <c r="AO105">
        <v>10</v>
      </c>
      <c r="AP105">
        <v>10</v>
      </c>
      <c r="AT105" t="s">
        <v>344</v>
      </c>
      <c r="AU105" t="str">
        <f>VLOOKUP(F105,Eras!$A$2:$C$10, 2, TRUE)</f>
        <v>dsl</v>
      </c>
      <c r="AV105" t="s">
        <v>393</v>
      </c>
      <c r="AW105" t="str">
        <f t="shared" si="5"/>
        <v>dsl_DMU</v>
      </c>
      <c r="AX105" t="s">
        <v>588</v>
      </c>
    </row>
    <row r="106" spans="1:50" x14ac:dyDescent="0.25">
      <c r="A106" t="s">
        <v>84</v>
      </c>
      <c r="B106" t="s">
        <v>226</v>
      </c>
      <c r="C106" t="s">
        <v>181</v>
      </c>
      <c r="E106" t="s">
        <v>335</v>
      </c>
      <c r="F106">
        <v>1956</v>
      </c>
      <c r="G106">
        <v>1959</v>
      </c>
      <c r="H106">
        <v>1988</v>
      </c>
      <c r="J106">
        <v>300</v>
      </c>
      <c r="S106">
        <f>30.5*2</f>
        <v>61</v>
      </c>
      <c r="W106" s="4" t="str">
        <f t="shared" si="3"/>
        <v/>
      </c>
      <c r="X106">
        <v>70</v>
      </c>
      <c r="Z106">
        <v>17.53</v>
      </c>
      <c r="AA106">
        <v>17.53</v>
      </c>
      <c r="AC106">
        <v>3.84</v>
      </c>
      <c r="AE106" t="str">
        <f>CONCATENATE(VLOOKUP(AF106, 'Voxel Sizes'!$A$2:$B$18,2,FALSE),"x",INT(AB106*15), "x", INT(AC106*15))</f>
        <v>164x0x57</v>
      </c>
      <c r="AF106">
        <f t="shared" si="4"/>
        <v>10</v>
      </c>
      <c r="AH106" t="str">
        <f>CONCATENATE(VLOOKUP(AF106,'Articulated Lengths'!$A$2:$C$16,IF(AG106&lt;&gt;"", 3, 2), FALSE),IF(AG106&lt;&gt;"",CONCATENATE(",",VLOOKUP(AG106,$B$2:$AH$219,33,FALSE)),""))</f>
        <v>3,3,4</v>
      </c>
      <c r="AO106">
        <v>10</v>
      </c>
      <c r="AP106">
        <v>10</v>
      </c>
      <c r="AU106" t="str">
        <f>VLOOKUP(F106,Eras!$A$2:$C$10, 2, TRUE)</f>
        <v>dsl</v>
      </c>
      <c r="AW106" t="str">
        <f t="shared" si="5"/>
        <v>dsl_</v>
      </c>
    </row>
    <row r="107" spans="1:50" x14ac:dyDescent="0.25">
      <c r="A107" t="s">
        <v>132</v>
      </c>
      <c r="B107" t="s">
        <v>318</v>
      </c>
      <c r="C107" t="s">
        <v>342</v>
      </c>
      <c r="E107" t="s">
        <v>335</v>
      </c>
      <c r="F107">
        <v>1956</v>
      </c>
      <c r="S107">
        <v>40</v>
      </c>
      <c r="U107">
        <v>9</v>
      </c>
      <c r="W107" s="4" t="str">
        <f t="shared" si="3"/>
        <v/>
      </c>
      <c r="X107">
        <v>110</v>
      </c>
      <c r="Z107">
        <v>19.66</v>
      </c>
      <c r="AA107">
        <v>19.66</v>
      </c>
      <c r="AB107">
        <v>2.83</v>
      </c>
      <c r="AC107">
        <v>3.79</v>
      </c>
      <c r="AD107" s="11">
        <v>57</v>
      </c>
      <c r="AE107" t="str">
        <f>CONCATENATE(VLOOKUP(AF107, 'Voxel Sizes'!$A$2:$B$18,2,FALSE),"x",INT(AB107*15), "x", INT(AC107*15))</f>
        <v>198x42x56</v>
      </c>
      <c r="AF107">
        <f t="shared" si="4"/>
        <v>12</v>
      </c>
      <c r="AH107" t="str">
        <f>CONCATENATE(VLOOKUP(AF107,'Articulated Lengths'!$A$2:$C$16,IF(AG107&lt;&gt;"", 3, 2), FALSE),IF(AG107&lt;&gt;"",CONCATENATE(",",VLOOKUP(AG107,$B$2:$AH$219,33,FALSE)),""))</f>
        <v>3,3,6</v>
      </c>
      <c r="AO107">
        <v>10</v>
      </c>
      <c r="AP107">
        <v>10</v>
      </c>
      <c r="AT107" t="s">
        <v>344</v>
      </c>
      <c r="AU107" t="str">
        <f>VLOOKUP(F107,Eras!$A$2:$C$10, 2, TRUE)</f>
        <v>dsl</v>
      </c>
      <c r="AV107" t="s">
        <v>397</v>
      </c>
      <c r="AW107" t="str">
        <f t="shared" si="5"/>
        <v>dsl_Carriage</v>
      </c>
      <c r="AX107" t="s">
        <v>423</v>
      </c>
    </row>
    <row r="108" spans="1:50" x14ac:dyDescent="0.25">
      <c r="A108" t="s">
        <v>704</v>
      </c>
      <c r="B108" t="s">
        <v>706</v>
      </c>
      <c r="C108" t="s">
        <v>475</v>
      </c>
      <c r="D108" t="s">
        <v>357</v>
      </c>
      <c r="E108" t="s">
        <v>365</v>
      </c>
      <c r="F108">
        <v>1956</v>
      </c>
      <c r="H108">
        <v>1995</v>
      </c>
      <c r="I108">
        <v>2</v>
      </c>
      <c r="J108">
        <v>500</v>
      </c>
      <c r="S108">
        <f>40+32</f>
        <v>72</v>
      </c>
      <c r="V108">
        <v>95</v>
      </c>
      <c r="W108" s="4">
        <f t="shared" si="3"/>
        <v>0.13194444444444445</v>
      </c>
      <c r="X108">
        <v>90</v>
      </c>
      <c r="Z108">
        <v>19.05</v>
      </c>
      <c r="AA108">
        <v>19.05</v>
      </c>
      <c r="AB108">
        <v>2.82</v>
      </c>
      <c r="AC108">
        <v>3.89</v>
      </c>
      <c r="AD108" s="11">
        <v>54</v>
      </c>
      <c r="AE108" t="str">
        <f>CONCATENATE(VLOOKUP(AF108, 'Voxel Sizes'!$A$2:$B$18,2,FALSE),"x",INT(AB108*15), "x", INT(AC108*15))</f>
        <v>186x42x58</v>
      </c>
      <c r="AF108">
        <f t="shared" si="4"/>
        <v>11</v>
      </c>
      <c r="AH108" t="str">
        <f>CONCATENATE(VLOOKUP(AF108,'Articulated Lengths'!$A$2:$C$16,IF(AG108&lt;&gt;"", 3, 2), FALSE),IF(AG108&lt;&gt;"",CONCATENATE(",",VLOOKUP(AG108,$B$2:$AH$219,33,FALSE)),""))</f>
        <v>3,3,5</v>
      </c>
      <c r="AJ108" t="s">
        <v>707</v>
      </c>
      <c r="AL108" t="s">
        <v>540</v>
      </c>
      <c r="AO108">
        <v>10</v>
      </c>
      <c r="AP108">
        <v>10</v>
      </c>
      <c r="AT108" t="s">
        <v>344</v>
      </c>
      <c r="AU108" t="str">
        <f>VLOOKUP(F108,Eras!$A$2:$C$10, 2, TRUE)</f>
        <v>dsl</v>
      </c>
      <c r="AV108" t="s">
        <v>396</v>
      </c>
      <c r="AW108" t="str">
        <f t="shared" si="5"/>
        <v>dsl_EMU (Express)</v>
      </c>
      <c r="AX108" t="s">
        <v>708</v>
      </c>
    </row>
    <row r="109" spans="1:50" x14ac:dyDescent="0.25">
      <c r="A109" t="s">
        <v>591</v>
      </c>
      <c r="B109" t="s">
        <v>210</v>
      </c>
      <c r="C109" t="s">
        <v>323</v>
      </c>
      <c r="D109" t="s">
        <v>333</v>
      </c>
      <c r="E109" t="s">
        <v>335</v>
      </c>
      <c r="F109">
        <v>1957</v>
      </c>
      <c r="G109">
        <v>1962</v>
      </c>
      <c r="H109">
        <v>2017</v>
      </c>
      <c r="J109">
        <v>1250</v>
      </c>
      <c r="S109">
        <v>108.4</v>
      </c>
      <c r="V109">
        <v>160</v>
      </c>
      <c r="W109" s="4">
        <f t="shared" si="3"/>
        <v>0.14760147601476015</v>
      </c>
      <c r="X109">
        <v>80</v>
      </c>
      <c r="Z109">
        <v>17.3</v>
      </c>
      <c r="AA109">
        <v>17.3</v>
      </c>
      <c r="AC109">
        <v>3.84</v>
      </c>
      <c r="AE109" t="str">
        <f>CONCATENATE(VLOOKUP(AF109, 'Voxel Sizes'!$A$2:$B$18,2,FALSE),"x",INT(AB109*15), "x", INT(AC109*15))</f>
        <v>164x0x57</v>
      </c>
      <c r="AF109">
        <f t="shared" si="4"/>
        <v>10</v>
      </c>
      <c r="AH109" t="str">
        <f>CONCATENATE(VLOOKUP(AF109,'Articulated Lengths'!$A$2:$C$16,IF(AG109&lt;&gt;"", 3, 2), FALSE),IF(AG109&lt;&gt;"",CONCATENATE(",",VLOOKUP(AG109,$B$2:$AH$219,33,FALSE)),""))</f>
        <v>3,3,4</v>
      </c>
      <c r="AO109">
        <v>10</v>
      </c>
      <c r="AP109">
        <v>10</v>
      </c>
      <c r="AU109" t="str">
        <f>VLOOKUP(F109,Eras!$A$2:$C$10, 2, TRUE)</f>
        <v>dsl</v>
      </c>
      <c r="AV109" t="s">
        <v>391</v>
      </c>
      <c r="AW109" t="str">
        <f t="shared" si="5"/>
        <v>dsl_Freight</v>
      </c>
      <c r="AX109" t="s">
        <v>592</v>
      </c>
    </row>
    <row r="110" spans="1:50" x14ac:dyDescent="0.25">
      <c r="A110" t="s">
        <v>57</v>
      </c>
      <c r="B110" t="s">
        <v>326</v>
      </c>
      <c r="C110" t="s">
        <v>323</v>
      </c>
      <c r="D110" t="s">
        <v>333</v>
      </c>
      <c r="E110" t="s">
        <v>335</v>
      </c>
      <c r="F110">
        <v>1957</v>
      </c>
      <c r="G110">
        <v>1968</v>
      </c>
      <c r="J110">
        <v>1000</v>
      </c>
      <c r="S110">
        <v>73</v>
      </c>
      <c r="V110">
        <v>186</v>
      </c>
      <c r="W110" s="4">
        <f t="shared" si="3"/>
        <v>0.25479452054794521</v>
      </c>
      <c r="X110">
        <v>75</v>
      </c>
      <c r="Z110">
        <v>14.25</v>
      </c>
      <c r="AA110">
        <v>14.25</v>
      </c>
      <c r="AB110">
        <v>2.67</v>
      </c>
      <c r="AC110">
        <v>3.85</v>
      </c>
      <c r="AE110" t="str">
        <f>CONCATENATE(VLOOKUP(AF110, 'Voxel Sizes'!$A$2:$B$18,2,FALSE),"x",INT(AB110*15), "x", INT(AC110*15))</f>
        <v>136x40x57</v>
      </c>
      <c r="AF110">
        <f t="shared" si="4"/>
        <v>8</v>
      </c>
      <c r="AH110" t="str">
        <f>CONCATENATE(VLOOKUP(AF110,'Articulated Lengths'!$A$2:$C$16,IF(AG110&lt;&gt;"", 3, 2), FALSE),IF(AG110&lt;&gt;"",CONCATENATE(",",VLOOKUP(AG110,$B$2:$AH$219,33,FALSE)),""))</f>
        <v>2,2,4</v>
      </c>
      <c r="AO110">
        <v>10</v>
      </c>
      <c r="AP110">
        <v>10</v>
      </c>
      <c r="AU110" t="str">
        <f>VLOOKUP(F110,Eras!$A$2:$C$10, 2, TRUE)</f>
        <v>dsl</v>
      </c>
      <c r="AV110" t="s">
        <v>389</v>
      </c>
      <c r="AW110" t="str">
        <f t="shared" si="5"/>
        <v>dsl_Mixed Traffic</v>
      </c>
      <c r="AX110" t="s">
        <v>419</v>
      </c>
    </row>
    <row r="111" spans="1:50" x14ac:dyDescent="0.25">
      <c r="A111" t="s">
        <v>724</v>
      </c>
      <c r="B111" t="s">
        <v>725</v>
      </c>
      <c r="C111" t="s">
        <v>352</v>
      </c>
      <c r="E111" t="s">
        <v>335</v>
      </c>
      <c r="F111">
        <v>1958</v>
      </c>
      <c r="S111">
        <v>52</v>
      </c>
      <c r="W111" s="4" t="str">
        <f t="shared" si="3"/>
        <v/>
      </c>
      <c r="Z111">
        <v>6</v>
      </c>
      <c r="AA111">
        <v>8</v>
      </c>
      <c r="AE111" t="str">
        <f>CONCATENATE(VLOOKUP(AF111, 'Voxel Sizes'!$A$2:$B$18,2,FALSE),"x",INT(AB111*15), "x", INT(AC111*15))</f>
        <v>82x0x0</v>
      </c>
      <c r="AF111">
        <f t="shared" si="4"/>
        <v>5</v>
      </c>
      <c r="AH111" t="str">
        <f>CONCATENATE(VLOOKUP(AF111,'Articulated Lengths'!$A$2:$C$16,IF(AG111&lt;&gt;"", 3, 2), FALSE),IF(AG111&lt;&gt;"",CONCATENATE(",",VLOOKUP(AG111,$B$2:$AH$219,33,FALSE)),""))</f>
        <v>1,1,3</v>
      </c>
      <c r="AU111" t="str">
        <f>VLOOKUP(F111,Eras!$A$2:$C$10, 2, TRUE)</f>
        <v>dsl</v>
      </c>
      <c r="AW111" t="str">
        <f t="shared" si="5"/>
        <v>dsl_</v>
      </c>
    </row>
    <row r="112" spans="1:50" x14ac:dyDescent="0.25">
      <c r="A112" t="s">
        <v>43</v>
      </c>
      <c r="B112" t="s">
        <v>211</v>
      </c>
      <c r="C112" t="s">
        <v>323</v>
      </c>
      <c r="D112" t="s">
        <v>333</v>
      </c>
      <c r="E112" t="s">
        <v>335</v>
      </c>
      <c r="F112">
        <v>1958</v>
      </c>
      <c r="G112">
        <v>1961</v>
      </c>
      <c r="H112">
        <v>1966</v>
      </c>
      <c r="J112">
        <v>2750</v>
      </c>
      <c r="S112">
        <v>81</v>
      </c>
      <c r="T112" s="9">
        <v>45</v>
      </c>
      <c r="V112">
        <v>169</v>
      </c>
      <c r="W112" s="4">
        <f t="shared" si="3"/>
        <v>0.13412698412698412</v>
      </c>
      <c r="X112">
        <v>90</v>
      </c>
      <c r="Z112">
        <v>20.74</v>
      </c>
      <c r="AA112">
        <v>14</v>
      </c>
      <c r="AE112" t="str">
        <f>CONCATENATE(VLOOKUP(AF112, 'Voxel Sizes'!$A$2:$B$18,2,FALSE),"x",INT(AB112*15), "x", INT(AC112*15))</f>
        <v>136x0x0</v>
      </c>
      <c r="AF112">
        <f t="shared" si="4"/>
        <v>8</v>
      </c>
      <c r="AG112" t="s">
        <v>725</v>
      </c>
      <c r="AH112" t="str">
        <f>CONCATENATE(VLOOKUP(AF112,'Articulated Lengths'!$A$2:$C$16,IF(AG112&lt;&gt;"", 3, 2), FALSE),IF(AG112&lt;&gt;"",CONCATENATE(",",VLOOKUP(AG112,$B$2:$AH$219,33,FALSE)),""))</f>
        <v>2,2,4,1,1,3</v>
      </c>
      <c r="AN112">
        <v>1</v>
      </c>
      <c r="AO112">
        <v>10</v>
      </c>
      <c r="AP112">
        <v>10</v>
      </c>
      <c r="AU112" t="str">
        <f>VLOOKUP(F112,Eras!$A$2:$C$10, 2, TRUE)</f>
        <v>dsl</v>
      </c>
      <c r="AV112" t="s">
        <v>390</v>
      </c>
      <c r="AW112" t="str">
        <f t="shared" si="5"/>
        <v>dsl_Express</v>
      </c>
      <c r="AX112" t="s">
        <v>590</v>
      </c>
    </row>
    <row r="113" spans="1:50" x14ac:dyDescent="0.25">
      <c r="A113" t="s">
        <v>47</v>
      </c>
      <c r="B113" t="s">
        <v>212</v>
      </c>
      <c r="C113" t="s">
        <v>323</v>
      </c>
      <c r="D113" t="s">
        <v>333</v>
      </c>
      <c r="E113" t="s">
        <v>335</v>
      </c>
      <c r="F113">
        <v>1958</v>
      </c>
      <c r="G113">
        <v>1961</v>
      </c>
      <c r="H113">
        <v>1972</v>
      </c>
      <c r="J113">
        <f>1035*2</f>
        <v>2070</v>
      </c>
      <c r="S113">
        <v>79.3</v>
      </c>
      <c r="V113">
        <v>214</v>
      </c>
      <c r="W113" s="4">
        <f t="shared" si="3"/>
        <v>0.26986128625472888</v>
      </c>
      <c r="X113">
        <v>90</v>
      </c>
      <c r="Z113">
        <v>18.29</v>
      </c>
      <c r="AA113">
        <v>18.29</v>
      </c>
      <c r="AC113">
        <v>3.67</v>
      </c>
      <c r="AE113" t="str">
        <f>CONCATENATE(VLOOKUP(AF113, 'Voxel Sizes'!$A$2:$B$18,2,FALSE),"x",INT(AB113*15), "x", INT(AC113*15))</f>
        <v>186x0x55</v>
      </c>
      <c r="AF113">
        <f t="shared" si="4"/>
        <v>11</v>
      </c>
      <c r="AH113" t="str">
        <f>CONCATENATE(VLOOKUP(AF113,'Articulated Lengths'!$A$2:$C$16,IF(AG113&lt;&gt;"", 3, 2), FALSE),IF(AG113&lt;&gt;"",CONCATENATE(",",VLOOKUP(AG113,$B$2:$AH$219,33,FALSE)),""))</f>
        <v>3,3,5</v>
      </c>
      <c r="AO113">
        <v>10</v>
      </c>
      <c r="AP113">
        <v>10</v>
      </c>
      <c r="AU113" t="str">
        <f>VLOOKUP(F113,Eras!$A$2:$C$10, 2, TRUE)</f>
        <v>dsl</v>
      </c>
      <c r="AV113" t="s">
        <v>439</v>
      </c>
      <c r="AW113" t="str">
        <f t="shared" si="5"/>
        <v>dsl_Passenger</v>
      </c>
      <c r="AX113" t="s">
        <v>593</v>
      </c>
    </row>
    <row r="114" spans="1:50" x14ac:dyDescent="0.25">
      <c r="A114" t="s">
        <v>52</v>
      </c>
      <c r="B114" t="s">
        <v>595</v>
      </c>
      <c r="C114" t="s">
        <v>323</v>
      </c>
      <c r="D114" t="s">
        <v>333</v>
      </c>
      <c r="E114" t="s">
        <v>335</v>
      </c>
      <c r="F114">
        <v>1958</v>
      </c>
      <c r="G114">
        <v>1962</v>
      </c>
      <c r="H114">
        <v>1985</v>
      </c>
      <c r="J114">
        <v>2000</v>
      </c>
      <c r="S114">
        <v>135</v>
      </c>
      <c r="V114">
        <v>231</v>
      </c>
      <c r="W114" s="4">
        <f t="shared" si="3"/>
        <v>0.1711111111111111</v>
      </c>
      <c r="X114">
        <v>90</v>
      </c>
      <c r="Z114">
        <v>21.18</v>
      </c>
      <c r="AA114">
        <v>21.18</v>
      </c>
      <c r="AC114">
        <v>3.91</v>
      </c>
      <c r="AE114" t="str">
        <f>CONCATENATE(VLOOKUP(AF114, 'Voxel Sizes'!$A$2:$B$18,2,FALSE),"x",INT(AB114*15), "x", INT(AC114*15))</f>
        <v>198x0x58</v>
      </c>
      <c r="AF114">
        <f t="shared" si="4"/>
        <v>12</v>
      </c>
      <c r="AH114" t="str">
        <f>CONCATENATE(VLOOKUP(AF114,'Articulated Lengths'!$A$2:$C$16,IF(AG114&lt;&gt;"", 3, 2), FALSE),IF(AG114&lt;&gt;"",CONCATENATE(",",VLOOKUP(AG114,$B$2:$AH$219,33,FALSE)),""))</f>
        <v>3,3,6</v>
      </c>
      <c r="AO114">
        <v>10</v>
      </c>
      <c r="AP114">
        <v>10</v>
      </c>
      <c r="AU114" t="str">
        <f>VLOOKUP(F114,Eras!$A$2:$C$10, 2, TRUE)</f>
        <v>dsl</v>
      </c>
      <c r="AV114" t="s">
        <v>390</v>
      </c>
      <c r="AW114" t="str">
        <f t="shared" si="5"/>
        <v>dsl_Express</v>
      </c>
      <c r="AX114" t="s">
        <v>594</v>
      </c>
    </row>
    <row r="115" spans="1:50" x14ac:dyDescent="0.25">
      <c r="A115" t="s">
        <v>53</v>
      </c>
      <c r="B115" t="s">
        <v>359</v>
      </c>
      <c r="C115" t="s">
        <v>323</v>
      </c>
      <c r="D115" t="s">
        <v>333</v>
      </c>
      <c r="E115" t="s">
        <v>335</v>
      </c>
      <c r="F115">
        <v>1958</v>
      </c>
      <c r="G115">
        <v>1959</v>
      </c>
      <c r="J115">
        <v>1200</v>
      </c>
      <c r="S115">
        <v>98.6</v>
      </c>
      <c r="V115">
        <v>222</v>
      </c>
      <c r="W115" s="4">
        <f t="shared" si="3"/>
        <v>0.22515212981744423</v>
      </c>
      <c r="X115">
        <v>75</v>
      </c>
      <c r="Z115">
        <v>17.260000000000002</v>
      </c>
      <c r="AA115">
        <v>17.260000000000002</v>
      </c>
      <c r="AC115">
        <v>3.7</v>
      </c>
      <c r="AE115" t="str">
        <f>CONCATENATE(VLOOKUP(AF115, 'Voxel Sizes'!$A$2:$B$18,2,FALSE),"x",INT(AB115*15), "x", INT(AC115*15))</f>
        <v>164x0x55</v>
      </c>
      <c r="AF115">
        <f t="shared" si="4"/>
        <v>10</v>
      </c>
      <c r="AH115" t="str">
        <f>CONCATENATE(VLOOKUP(AF115,'Articulated Lengths'!$A$2:$C$16,IF(AG115&lt;&gt;"", 3, 2), FALSE),IF(AG115&lt;&gt;"",CONCATENATE(",",VLOOKUP(AG115,$B$2:$AH$219,33,FALSE)),""))</f>
        <v>3,3,4</v>
      </c>
      <c r="AO115">
        <v>10</v>
      </c>
      <c r="AP115">
        <v>10</v>
      </c>
      <c r="AU115" t="str">
        <f>VLOOKUP(F115,Eras!$A$2:$C$10, 2, TRUE)</f>
        <v>dsl</v>
      </c>
      <c r="AV115" t="s">
        <v>389</v>
      </c>
      <c r="AW115" t="str">
        <f t="shared" si="5"/>
        <v>dsl_Mixed Traffic</v>
      </c>
      <c r="AX115" t="s">
        <v>420</v>
      </c>
    </row>
    <row r="116" spans="1:50" x14ac:dyDescent="0.25">
      <c r="A116" t="s">
        <v>75</v>
      </c>
      <c r="B116" t="s">
        <v>274</v>
      </c>
      <c r="C116" t="s">
        <v>323</v>
      </c>
      <c r="D116" t="s">
        <v>357</v>
      </c>
      <c r="E116" t="s">
        <v>365</v>
      </c>
      <c r="F116">
        <v>1958</v>
      </c>
      <c r="G116">
        <v>1960</v>
      </c>
      <c r="J116">
        <v>2300</v>
      </c>
      <c r="S116">
        <v>78.239999999999995</v>
      </c>
      <c r="V116">
        <v>195</v>
      </c>
      <c r="W116" s="4">
        <f t="shared" si="3"/>
        <v>0.24923312883435583</v>
      </c>
      <c r="X116">
        <v>90</v>
      </c>
      <c r="Z116">
        <v>16.36</v>
      </c>
      <c r="AA116">
        <v>16.36</v>
      </c>
      <c r="AE116" t="str">
        <f>CONCATENATE(VLOOKUP(AF116, 'Voxel Sizes'!$A$2:$B$18,2,FALSE),"x",INT(AB116*15), "x", INT(AC116*15))</f>
        <v>164x0x0</v>
      </c>
      <c r="AF116">
        <f t="shared" si="4"/>
        <v>10</v>
      </c>
      <c r="AH116" t="str">
        <f>CONCATENATE(VLOOKUP(AF116,'Articulated Lengths'!$A$2:$C$16,IF(AG116&lt;&gt;"", 3, 2), FALSE),IF(AG116&lt;&gt;"",CONCATENATE(",",VLOOKUP(AG116,$B$2:$AH$219,33,FALSE)),""))</f>
        <v>3,3,4</v>
      </c>
      <c r="AO116">
        <v>10</v>
      </c>
      <c r="AP116">
        <v>10</v>
      </c>
      <c r="AU116" t="str">
        <f>VLOOKUP(F116,Eras!$A$2:$C$10, 2, TRUE)</f>
        <v>dsl</v>
      </c>
      <c r="AV116" t="s">
        <v>399</v>
      </c>
      <c r="AW116" t="str">
        <f t="shared" si="5"/>
        <v>dsl_MT (Electric)</v>
      </c>
      <c r="AX116" t="s">
        <v>421</v>
      </c>
    </row>
    <row r="117" spans="1:50" x14ac:dyDescent="0.25">
      <c r="A117" t="s">
        <v>611</v>
      </c>
      <c r="B117" t="s">
        <v>613</v>
      </c>
      <c r="C117" t="s">
        <v>323</v>
      </c>
      <c r="D117" t="s">
        <v>333</v>
      </c>
      <c r="E117" t="s">
        <v>335</v>
      </c>
      <c r="F117">
        <v>1958</v>
      </c>
      <c r="G117">
        <v>1959</v>
      </c>
      <c r="H117">
        <v>1994</v>
      </c>
      <c r="J117">
        <v>1160</v>
      </c>
      <c r="S117">
        <v>78.7</v>
      </c>
      <c r="V117">
        <v>187</v>
      </c>
      <c r="W117" s="4">
        <f t="shared" si="3"/>
        <v>0.23761118170266837</v>
      </c>
      <c r="X117">
        <v>80</v>
      </c>
      <c r="Z117">
        <v>15.47</v>
      </c>
      <c r="AA117">
        <v>15.47</v>
      </c>
      <c r="AC117">
        <v>3.86</v>
      </c>
      <c r="AE117" t="str">
        <f>CONCATENATE(VLOOKUP(AF117, 'Voxel Sizes'!$A$2:$B$18,2,FALSE),"x",INT(AB117*15), "x", INT(AC117*15))</f>
        <v>152x0x57</v>
      </c>
      <c r="AF117">
        <f t="shared" si="4"/>
        <v>9</v>
      </c>
      <c r="AH117" t="str">
        <f>CONCATENATE(VLOOKUP(AF117,'Articulated Lengths'!$A$2:$C$16,IF(AG117&lt;&gt;"", 3, 2), FALSE),IF(AG117&lt;&gt;"",CONCATENATE(",",VLOOKUP(AG117,$B$2:$AH$219,33,FALSE)),""))</f>
        <v>2,2,5</v>
      </c>
      <c r="AO117">
        <v>10</v>
      </c>
      <c r="AP117">
        <v>10</v>
      </c>
      <c r="AU117" t="str">
        <f>VLOOKUP(F117,Eras!$A$2:$C$10, 2, TRUE)</f>
        <v>dsl</v>
      </c>
      <c r="AV117" t="s">
        <v>389</v>
      </c>
      <c r="AW117" t="str">
        <f t="shared" si="5"/>
        <v>dsl_Mixed Traffic</v>
      </c>
      <c r="AX117" t="s">
        <v>612</v>
      </c>
    </row>
    <row r="118" spans="1:50" x14ac:dyDescent="0.25">
      <c r="A118" t="s">
        <v>50</v>
      </c>
      <c r="B118" t="s">
        <v>327</v>
      </c>
      <c r="C118" t="s">
        <v>323</v>
      </c>
      <c r="D118" t="s">
        <v>333</v>
      </c>
      <c r="E118" t="s">
        <v>335</v>
      </c>
      <c r="F118">
        <v>1959</v>
      </c>
      <c r="G118">
        <v>1959</v>
      </c>
      <c r="J118">
        <v>1100</v>
      </c>
      <c r="S118">
        <v>75.2</v>
      </c>
      <c r="V118">
        <v>209</v>
      </c>
      <c r="W118" s="4">
        <f t="shared" si="3"/>
        <v>0.27792553191489361</v>
      </c>
      <c r="X118">
        <v>75</v>
      </c>
      <c r="Z118">
        <v>16</v>
      </c>
      <c r="AA118">
        <v>16</v>
      </c>
      <c r="AC118">
        <v>3.86</v>
      </c>
      <c r="AE118" t="str">
        <f>CONCATENATE(VLOOKUP(AF118, 'Voxel Sizes'!$A$2:$B$18,2,FALSE),"x",INT(AB118*15), "x", INT(AC118*15))</f>
        <v>152x0x57</v>
      </c>
      <c r="AF118">
        <f t="shared" si="4"/>
        <v>9</v>
      </c>
      <c r="AH118" t="str">
        <f>CONCATENATE(VLOOKUP(AF118,'Articulated Lengths'!$A$2:$C$16,IF(AG118&lt;&gt;"", 3, 2), FALSE),IF(AG118&lt;&gt;"",CONCATENATE(",",VLOOKUP(AG118,$B$2:$AH$219,33,FALSE)),""))</f>
        <v>2,2,5</v>
      </c>
      <c r="AO118">
        <v>10</v>
      </c>
      <c r="AP118">
        <v>10</v>
      </c>
      <c r="AU118" t="str">
        <f>VLOOKUP(F118,Eras!$A$2:$C$10, 2, TRUE)</f>
        <v>dsl</v>
      </c>
      <c r="AV118" t="s">
        <v>389</v>
      </c>
      <c r="AW118" t="str">
        <f t="shared" si="5"/>
        <v>dsl_Mixed Traffic</v>
      </c>
      <c r="AX118" t="s">
        <v>429</v>
      </c>
    </row>
    <row r="119" spans="1:50" x14ac:dyDescent="0.25">
      <c r="A119" t="s">
        <v>70</v>
      </c>
      <c r="B119" t="s">
        <v>275</v>
      </c>
      <c r="C119" t="s">
        <v>323</v>
      </c>
      <c r="D119" t="s">
        <v>357</v>
      </c>
      <c r="E119" t="s">
        <v>358</v>
      </c>
      <c r="F119">
        <v>1959</v>
      </c>
      <c r="G119">
        <v>1964</v>
      </c>
      <c r="H119">
        <v>1991</v>
      </c>
      <c r="J119">
        <f>4*847</f>
        <v>3388</v>
      </c>
      <c r="S119">
        <v>80.900000000000006</v>
      </c>
      <c r="V119">
        <v>222</v>
      </c>
      <c r="W119" s="4">
        <f t="shared" si="3"/>
        <v>0.27441285537700866</v>
      </c>
      <c r="X119">
        <v>100</v>
      </c>
      <c r="Z119">
        <v>17.22</v>
      </c>
      <c r="AA119">
        <v>17.22</v>
      </c>
      <c r="AC119">
        <v>3.77</v>
      </c>
      <c r="AE119" t="str">
        <f>CONCATENATE(VLOOKUP(AF119, 'Voxel Sizes'!$A$2:$B$18,2,FALSE),"x",INT(AB119*15), "x", INT(AC119*15))</f>
        <v>164x0x56</v>
      </c>
      <c r="AF119">
        <f t="shared" si="4"/>
        <v>10</v>
      </c>
      <c r="AH119" t="str">
        <f>CONCATENATE(VLOOKUP(AF119,'Articulated Lengths'!$A$2:$C$16,IF(AG119&lt;&gt;"", 3, 2), FALSE),IF(AG119&lt;&gt;"",CONCATENATE(",",VLOOKUP(AG119,$B$2:$AH$219,33,FALSE)),""))</f>
        <v>3,3,4</v>
      </c>
      <c r="AO119">
        <v>10</v>
      </c>
      <c r="AP119">
        <v>10</v>
      </c>
      <c r="AU119" t="str">
        <f>VLOOKUP(F119,Eras!$A$2:$C$10, 2, TRUE)</f>
        <v>dsl</v>
      </c>
      <c r="AV119" t="s">
        <v>400</v>
      </c>
      <c r="AW119" t="str">
        <f t="shared" si="5"/>
        <v>dsl_Express (Electric)</v>
      </c>
      <c r="AX119" t="s">
        <v>596</v>
      </c>
    </row>
    <row r="120" spans="1:50" x14ac:dyDescent="0.25">
      <c r="A120" t="s">
        <v>598</v>
      </c>
      <c r="B120" t="s">
        <v>599</v>
      </c>
      <c r="C120" t="s">
        <v>181</v>
      </c>
      <c r="E120" t="s">
        <v>335</v>
      </c>
      <c r="F120">
        <v>1959</v>
      </c>
      <c r="G120">
        <v>1961</v>
      </c>
      <c r="H120">
        <v>1990</v>
      </c>
      <c r="J120">
        <v>600</v>
      </c>
      <c r="S120">
        <f>36.6+30.5+36.6</f>
        <v>103.69999999999999</v>
      </c>
      <c r="W120" s="4" t="str">
        <f t="shared" si="3"/>
        <v/>
      </c>
      <c r="X120">
        <v>70</v>
      </c>
      <c r="Z120">
        <v>19.510000000000002</v>
      </c>
      <c r="AA120">
        <v>19.510000000000002</v>
      </c>
      <c r="AC120">
        <v>3.87</v>
      </c>
      <c r="AE120" t="str">
        <f>CONCATENATE(VLOOKUP(AF120, 'Voxel Sizes'!$A$2:$B$18,2,FALSE),"x",INT(AB120*15), "x", INT(AC120*15))</f>
        <v>186x0x58</v>
      </c>
      <c r="AF120">
        <f t="shared" si="4"/>
        <v>11</v>
      </c>
      <c r="AH120" t="str">
        <f>CONCATENATE(VLOOKUP(AF120,'Articulated Lengths'!$A$2:$C$16,IF(AG120&lt;&gt;"", 3, 2), FALSE),IF(AG120&lt;&gt;"",CONCATENATE(",",VLOOKUP(AG120,$B$2:$AH$219,33,FALSE)),""))</f>
        <v>3,3,5</v>
      </c>
      <c r="AO120">
        <v>10</v>
      </c>
      <c r="AP120">
        <v>10</v>
      </c>
      <c r="AU120" t="str">
        <f>VLOOKUP(F120,Eras!$A$2:$C$10, 2, TRUE)</f>
        <v>dsl</v>
      </c>
      <c r="AV120" t="s">
        <v>393</v>
      </c>
      <c r="AW120" t="str">
        <f t="shared" si="5"/>
        <v>dsl_DMU</v>
      </c>
    </row>
    <row r="121" spans="1:50" x14ac:dyDescent="0.25">
      <c r="A121" t="s">
        <v>115</v>
      </c>
      <c r="B121" t="s">
        <v>239</v>
      </c>
      <c r="C121" t="s">
        <v>181</v>
      </c>
      <c r="E121" t="s">
        <v>335</v>
      </c>
      <c r="F121">
        <v>1959</v>
      </c>
      <c r="W121" s="4" t="str">
        <f t="shared" si="3"/>
        <v/>
      </c>
      <c r="AE121" t="str">
        <f>CONCATENATE(VLOOKUP(AF121, 'Voxel Sizes'!$A$2:$B$18,2,FALSE),"x",INT(AB121*15), "x", INT(AC121*15))</f>
        <v>0x0x0</v>
      </c>
      <c r="AF121">
        <f t="shared" si="4"/>
        <v>0</v>
      </c>
      <c r="AH121" t="str">
        <f>CONCATENATE(VLOOKUP(AF121,'Articulated Lengths'!$A$2:$C$16,IF(AG121&lt;&gt;"", 3, 2), FALSE),IF(AG121&lt;&gt;"",CONCATENATE(",",VLOOKUP(AG121,$B$2:$AH$219,33,FALSE)),""))</f>
        <v>na</v>
      </c>
      <c r="AO121">
        <v>10</v>
      </c>
      <c r="AP121">
        <v>10</v>
      </c>
      <c r="AU121" t="str">
        <f>VLOOKUP(F121,Eras!$A$2:$C$10, 2, TRUE)</f>
        <v>dsl</v>
      </c>
      <c r="AV121" t="s">
        <v>407</v>
      </c>
      <c r="AW121" t="str">
        <f t="shared" si="5"/>
        <v>dsl_LU</v>
      </c>
    </row>
    <row r="122" spans="1:50" x14ac:dyDescent="0.25">
      <c r="A122" t="s">
        <v>51</v>
      </c>
      <c r="B122" t="s">
        <v>322</v>
      </c>
      <c r="C122" t="s">
        <v>323</v>
      </c>
      <c r="D122" t="s">
        <v>333</v>
      </c>
      <c r="E122" t="s">
        <v>335</v>
      </c>
      <c r="F122">
        <v>1960</v>
      </c>
      <c r="G122">
        <v>1965</v>
      </c>
      <c r="J122">
        <v>1750</v>
      </c>
      <c r="S122">
        <v>102</v>
      </c>
      <c r="V122">
        <v>247</v>
      </c>
      <c r="W122" s="4">
        <f t="shared" si="3"/>
        <v>0.24215686274509804</v>
      </c>
      <c r="X122">
        <v>90</v>
      </c>
      <c r="Z122">
        <v>18.75</v>
      </c>
      <c r="AA122">
        <v>18.75</v>
      </c>
      <c r="AB122">
        <v>2.71</v>
      </c>
      <c r="AC122">
        <v>3.89</v>
      </c>
      <c r="AE122" t="str">
        <f>CONCATENATE(VLOOKUP(AF122, 'Voxel Sizes'!$A$2:$B$18,2,FALSE),"x",INT(AB122*15), "x", INT(AC122*15))</f>
        <v>186x40x58</v>
      </c>
      <c r="AF122">
        <f t="shared" si="4"/>
        <v>11</v>
      </c>
      <c r="AH122" t="str">
        <f>CONCATENATE(VLOOKUP(AF122,'Articulated Lengths'!$A$2:$C$16,IF(AG122&lt;&gt;"", 3, 2), FALSE),IF(AG122&lt;&gt;"",CONCATENATE(",",VLOOKUP(AG122,$B$2:$AH$219,33,FALSE)),""))</f>
        <v>3,3,5</v>
      </c>
      <c r="AO122">
        <v>10</v>
      </c>
      <c r="AP122">
        <v>10</v>
      </c>
      <c r="AU122" t="str">
        <f>VLOOKUP(F122,Eras!$A$2:$C$10, 2, TRUE)</f>
        <v>dsl</v>
      </c>
      <c r="AV122" t="s">
        <v>391</v>
      </c>
      <c r="AW122" t="str">
        <f t="shared" si="5"/>
        <v>dsl_Freight</v>
      </c>
      <c r="AX122" t="s">
        <v>422</v>
      </c>
    </row>
    <row r="123" spans="1:50" x14ac:dyDescent="0.25">
      <c r="A123" t="s">
        <v>59</v>
      </c>
      <c r="B123" t="s">
        <v>601</v>
      </c>
      <c r="C123" t="s">
        <v>323</v>
      </c>
      <c r="D123" t="s">
        <v>333</v>
      </c>
      <c r="E123" t="s">
        <v>335</v>
      </c>
      <c r="F123">
        <v>1960</v>
      </c>
      <c r="G123">
        <v>1962</v>
      </c>
      <c r="H123">
        <v>1989</v>
      </c>
      <c r="J123">
        <v>2500</v>
      </c>
      <c r="S123">
        <v>135</v>
      </c>
      <c r="V123">
        <v>245</v>
      </c>
      <c r="W123" s="4">
        <f t="shared" si="3"/>
        <v>0.18148148148148149</v>
      </c>
      <c r="X123">
        <v>90</v>
      </c>
      <c r="Z123">
        <v>20.7</v>
      </c>
      <c r="AA123">
        <v>20.7</v>
      </c>
      <c r="AC123">
        <v>3.91</v>
      </c>
      <c r="AE123" t="str">
        <f>CONCATENATE(VLOOKUP(AF123, 'Voxel Sizes'!$A$2:$B$18,2,FALSE),"x",INT(AB123*15), "x", INT(AC123*15))</f>
        <v>198x0x58</v>
      </c>
      <c r="AF123">
        <f t="shared" si="4"/>
        <v>12</v>
      </c>
      <c r="AH123" t="str">
        <f>CONCATENATE(VLOOKUP(AF123,'Articulated Lengths'!$A$2:$C$16,IF(AG123&lt;&gt;"", 3, 2), FALSE),IF(AG123&lt;&gt;"",CONCATENATE(",",VLOOKUP(AG123,$B$2:$AH$219,33,FALSE)),""))</f>
        <v>3,3,6</v>
      </c>
      <c r="AO123">
        <v>10</v>
      </c>
      <c r="AP123">
        <v>10</v>
      </c>
      <c r="AU123" t="str">
        <f>VLOOKUP(F123,Eras!$A$2:$C$10, 2, TRUE)</f>
        <v>dsl</v>
      </c>
      <c r="AV123" t="s">
        <v>390</v>
      </c>
      <c r="AW123" t="str">
        <f t="shared" si="5"/>
        <v>dsl_Express</v>
      </c>
      <c r="AX123" t="s">
        <v>600</v>
      </c>
    </row>
    <row r="124" spans="1:50" x14ac:dyDescent="0.25">
      <c r="A124" t="s">
        <v>60</v>
      </c>
      <c r="B124" t="s">
        <v>603</v>
      </c>
      <c r="C124" t="s">
        <v>323</v>
      </c>
      <c r="D124" t="s">
        <v>333</v>
      </c>
      <c r="E124" t="s">
        <v>335</v>
      </c>
      <c r="F124">
        <v>1960</v>
      </c>
      <c r="G124">
        <v>1962</v>
      </c>
      <c r="J124">
        <v>1550</v>
      </c>
      <c r="S124">
        <v>74.2</v>
      </c>
      <c r="V124">
        <v>200</v>
      </c>
      <c r="W124" s="4">
        <f t="shared" si="3"/>
        <v>0.26954177897574122</v>
      </c>
      <c r="X124">
        <v>85</v>
      </c>
      <c r="Z124">
        <v>15.47</v>
      </c>
      <c r="AA124">
        <v>15.47</v>
      </c>
      <c r="AC124">
        <v>3.86</v>
      </c>
      <c r="AE124" t="str">
        <f>CONCATENATE(VLOOKUP(AF124, 'Voxel Sizes'!$A$2:$B$18,2,FALSE),"x",INT(AB124*15), "x", INT(AC124*15))</f>
        <v>152x0x57</v>
      </c>
      <c r="AF124">
        <f t="shared" si="4"/>
        <v>9</v>
      </c>
      <c r="AH124" t="str">
        <f>CONCATENATE(VLOOKUP(AF124,'Articulated Lengths'!$A$2:$C$16,IF(AG124&lt;&gt;"", 3, 2), FALSE),IF(AG124&lt;&gt;"",CONCATENATE(",",VLOOKUP(AG124,$B$2:$AH$219,33,FALSE)),""))</f>
        <v>2,2,5</v>
      </c>
      <c r="AO124">
        <v>10</v>
      </c>
      <c r="AP124">
        <v>10</v>
      </c>
      <c r="AU124" t="str">
        <f>VLOOKUP(F124,Eras!$A$2:$C$10, 2, TRUE)</f>
        <v>dsl</v>
      </c>
      <c r="AV124" t="s">
        <v>389</v>
      </c>
      <c r="AW124" t="str">
        <f t="shared" si="5"/>
        <v>dsl_Mixed Traffic</v>
      </c>
      <c r="AX124" t="s">
        <v>602</v>
      </c>
    </row>
    <row r="125" spans="1:50" x14ac:dyDescent="0.25">
      <c r="A125" t="s">
        <v>158</v>
      </c>
      <c r="B125" t="s">
        <v>296</v>
      </c>
      <c r="C125" t="s">
        <v>475</v>
      </c>
      <c r="D125" t="s">
        <v>333</v>
      </c>
      <c r="E125" t="s">
        <v>335</v>
      </c>
      <c r="F125">
        <v>1960</v>
      </c>
      <c r="H125">
        <v>1973</v>
      </c>
      <c r="I125">
        <v>6</v>
      </c>
      <c r="J125">
        <v>1000</v>
      </c>
      <c r="S125">
        <v>304</v>
      </c>
      <c r="V125">
        <v>155</v>
      </c>
      <c r="W125" s="4">
        <f t="shared" si="3"/>
        <v>5.0986842105263157E-2</v>
      </c>
      <c r="X125">
        <v>90</v>
      </c>
      <c r="Z125">
        <v>20.260000000000002</v>
      </c>
      <c r="AA125">
        <v>20</v>
      </c>
      <c r="AB125">
        <v>2.9</v>
      </c>
      <c r="AC125">
        <v>3.77</v>
      </c>
      <c r="AE125" t="str">
        <f>CONCATENATE(VLOOKUP(AF125, 'Voxel Sizes'!$A$2:$B$18,2,FALSE),"x",INT(AB125*15), "x", INT(AC125*15))</f>
        <v>198x43x56</v>
      </c>
      <c r="AF125">
        <f t="shared" si="4"/>
        <v>12</v>
      </c>
      <c r="AH125" t="str">
        <f>CONCATENATE(VLOOKUP(AF125,'Articulated Lengths'!$A$2:$C$16,IF(AG125&lt;&gt;"", 3, 2), FALSE),IF(AG125&lt;&gt;"",CONCATENATE(",",VLOOKUP(AG125,$B$2:$AH$219,33,FALSE)),""))</f>
        <v>3,3,6</v>
      </c>
      <c r="AJ125" t="s">
        <v>604</v>
      </c>
      <c r="AL125" t="s">
        <v>605</v>
      </c>
      <c r="AO125">
        <v>10</v>
      </c>
      <c r="AP125">
        <v>10</v>
      </c>
      <c r="AU125" t="str">
        <f>VLOOKUP(F125,Eras!$A$2:$C$10, 2, TRUE)</f>
        <v>dsl</v>
      </c>
      <c r="AV125" t="s">
        <v>394</v>
      </c>
      <c r="AW125" t="str">
        <f t="shared" si="5"/>
        <v>dsl_DMU (Express)</v>
      </c>
      <c r="AX125" t="s">
        <v>606</v>
      </c>
    </row>
    <row r="126" spans="1:50" x14ac:dyDescent="0.25">
      <c r="A126" t="s">
        <v>83</v>
      </c>
      <c r="B126" t="s">
        <v>276</v>
      </c>
      <c r="C126" t="s">
        <v>475</v>
      </c>
      <c r="D126" t="s">
        <v>333</v>
      </c>
      <c r="E126" t="s">
        <v>335</v>
      </c>
      <c r="F126">
        <v>1960</v>
      </c>
      <c r="H126">
        <v>2017</v>
      </c>
      <c r="I126">
        <v>1</v>
      </c>
      <c r="J126">
        <v>300</v>
      </c>
      <c r="S126">
        <v>38</v>
      </c>
      <c r="V126">
        <v>65</v>
      </c>
      <c r="W126" s="4">
        <f t="shared" si="3"/>
        <v>0.17105263157894737</v>
      </c>
      <c r="X126">
        <v>70</v>
      </c>
      <c r="Y126">
        <v>1</v>
      </c>
      <c r="Z126">
        <v>19.66</v>
      </c>
      <c r="AA126">
        <v>19.66</v>
      </c>
      <c r="AC126">
        <v>3.77</v>
      </c>
      <c r="AD126" s="11">
        <v>66</v>
      </c>
      <c r="AE126" t="str">
        <f>CONCATENATE(VLOOKUP(AF126, 'Voxel Sizes'!$A$2:$B$18,2,FALSE),"x",INT(AB126*15), "x", INT(AC126*15))</f>
        <v>198x0x56</v>
      </c>
      <c r="AF126">
        <f t="shared" si="4"/>
        <v>12</v>
      </c>
      <c r="AH126" t="str">
        <f>CONCATENATE(VLOOKUP(AF126,'Articulated Lengths'!$A$2:$C$16,IF(AG126&lt;&gt;"", 3, 2), FALSE),IF(AG126&lt;&gt;"",CONCATENATE(",",VLOOKUP(AG126,$B$2:$AH$219,33,FALSE)),""))</f>
        <v>3,3,6</v>
      </c>
      <c r="AJ126" t="s">
        <v>276</v>
      </c>
      <c r="AL126">
        <v>1</v>
      </c>
      <c r="AO126">
        <v>10</v>
      </c>
      <c r="AP126">
        <v>10</v>
      </c>
      <c r="AT126" t="s">
        <v>344</v>
      </c>
      <c r="AU126" t="str">
        <f>VLOOKUP(F126,Eras!$A$2:$C$10, 2, TRUE)</f>
        <v>dsl</v>
      </c>
      <c r="AV126" t="s">
        <v>393</v>
      </c>
      <c r="AW126" t="str">
        <f t="shared" si="5"/>
        <v>dsl_DMU</v>
      </c>
      <c r="AX126" t="s">
        <v>607</v>
      </c>
    </row>
    <row r="127" spans="1:50" x14ac:dyDescent="0.25">
      <c r="A127" t="s">
        <v>116</v>
      </c>
      <c r="B127" t="s">
        <v>240</v>
      </c>
      <c r="C127" t="s">
        <v>181</v>
      </c>
      <c r="E127" t="s">
        <v>335</v>
      </c>
      <c r="F127">
        <v>1960</v>
      </c>
      <c r="W127" s="4" t="str">
        <f t="shared" si="3"/>
        <v/>
      </c>
      <c r="AE127" t="str">
        <f>CONCATENATE(VLOOKUP(AF127, 'Voxel Sizes'!$A$2:$B$18,2,FALSE),"x",INT(AB127*15), "x", INT(AC127*15))</f>
        <v>0x0x0</v>
      </c>
      <c r="AF127">
        <f t="shared" si="4"/>
        <v>0</v>
      </c>
      <c r="AH127" t="str">
        <f>CONCATENATE(VLOOKUP(AF127,'Articulated Lengths'!$A$2:$C$16,IF(AG127&lt;&gt;"", 3, 2), FALSE),IF(AG127&lt;&gt;"",CONCATENATE(",",VLOOKUP(AG127,$B$2:$AH$219,33,FALSE)),""))</f>
        <v>na</v>
      </c>
      <c r="AO127">
        <v>10</v>
      </c>
      <c r="AP127">
        <v>10</v>
      </c>
      <c r="AU127" t="str">
        <f>VLOOKUP(F127,Eras!$A$2:$C$10, 2, TRUE)</f>
        <v>dsl</v>
      </c>
      <c r="AV127" t="s">
        <v>407</v>
      </c>
      <c r="AW127" t="str">
        <f t="shared" si="5"/>
        <v>dsl_LU</v>
      </c>
    </row>
    <row r="128" spans="1:50" x14ac:dyDescent="0.25">
      <c r="A128" t="s">
        <v>46</v>
      </c>
      <c r="B128" t="s">
        <v>213</v>
      </c>
      <c r="C128" t="s">
        <v>323</v>
      </c>
      <c r="D128" t="s">
        <v>333</v>
      </c>
      <c r="E128" t="s">
        <v>335</v>
      </c>
      <c r="F128">
        <v>1961</v>
      </c>
      <c r="G128">
        <v>1964</v>
      </c>
      <c r="H128">
        <v>1975</v>
      </c>
      <c r="J128">
        <v>1700</v>
      </c>
      <c r="S128">
        <v>76.2</v>
      </c>
      <c r="V128">
        <v>207</v>
      </c>
      <c r="W128" s="4">
        <f t="shared" si="3"/>
        <v>0.27165354330708663</v>
      </c>
      <c r="X128">
        <v>90</v>
      </c>
      <c r="Z128">
        <v>15.76</v>
      </c>
      <c r="AA128">
        <v>15.76</v>
      </c>
      <c r="AC128">
        <v>3.91</v>
      </c>
      <c r="AE128" t="str">
        <f>CONCATENATE(VLOOKUP(AF128, 'Voxel Sizes'!$A$2:$B$18,2,FALSE),"x",INT(AB128*15), "x", INT(AC128*15))</f>
        <v>152x0x58</v>
      </c>
      <c r="AF128">
        <f t="shared" si="4"/>
        <v>9</v>
      </c>
      <c r="AH128" t="str">
        <f>CONCATENATE(VLOOKUP(AF128,'Articulated Lengths'!$A$2:$C$16,IF(AG128&lt;&gt;"", 3, 2), FALSE),IF(AG128&lt;&gt;"",CONCATENATE(",",VLOOKUP(AG128,$B$2:$AH$219,33,FALSE)),""))</f>
        <v>2,2,5</v>
      </c>
      <c r="AO128">
        <v>10</v>
      </c>
      <c r="AP128">
        <v>10</v>
      </c>
      <c r="AU128" t="str">
        <f>VLOOKUP(F128,Eras!$A$2:$C$10, 2, TRUE)</f>
        <v>dsl</v>
      </c>
      <c r="AV128" t="s">
        <v>389</v>
      </c>
      <c r="AW128" t="str">
        <f t="shared" si="5"/>
        <v>dsl_Mixed Traffic</v>
      </c>
      <c r="AX128" t="s">
        <v>608</v>
      </c>
    </row>
    <row r="129" spans="1:50" x14ac:dyDescent="0.25">
      <c r="A129" t="s">
        <v>48</v>
      </c>
      <c r="B129" t="s">
        <v>214</v>
      </c>
      <c r="C129" t="s">
        <v>323</v>
      </c>
      <c r="D129" t="s">
        <v>333</v>
      </c>
      <c r="E129" t="s">
        <v>335</v>
      </c>
      <c r="F129">
        <v>1961</v>
      </c>
      <c r="G129">
        <v>1964</v>
      </c>
      <c r="H129">
        <v>1977</v>
      </c>
      <c r="J129">
        <v>2000</v>
      </c>
      <c r="S129">
        <v>110</v>
      </c>
      <c r="V129">
        <v>297</v>
      </c>
      <c r="W129" s="4">
        <f t="shared" si="3"/>
        <v>0.27</v>
      </c>
      <c r="X129">
        <v>90</v>
      </c>
      <c r="Z129">
        <v>20.73</v>
      </c>
      <c r="AA129">
        <v>20.73</v>
      </c>
      <c r="AC129">
        <v>3.96</v>
      </c>
      <c r="AE129" t="str">
        <f>CONCATENATE(VLOOKUP(AF129, 'Voxel Sizes'!$A$2:$B$18,2,FALSE),"x",INT(AB129*15), "x", INT(AC129*15))</f>
        <v>198x0x59</v>
      </c>
      <c r="AF129">
        <f t="shared" si="4"/>
        <v>12</v>
      </c>
      <c r="AH129" t="str">
        <f>CONCATENATE(VLOOKUP(AF129,'Articulated Lengths'!$A$2:$C$16,IF(AG129&lt;&gt;"", 3, 2), FALSE),IF(AG129&lt;&gt;"",CONCATENATE(",",VLOOKUP(AG129,$B$2:$AH$219,33,FALSE)),""))</f>
        <v>3,3,6</v>
      </c>
      <c r="AO129">
        <v>10</v>
      </c>
      <c r="AP129">
        <v>10</v>
      </c>
      <c r="AU129" t="str">
        <f>VLOOKUP(F129,Eras!$A$2:$C$10, 2, TRUE)</f>
        <v>dsl</v>
      </c>
      <c r="AV129" t="s">
        <v>389</v>
      </c>
      <c r="AW129" t="str">
        <f t="shared" si="5"/>
        <v>dsl_Mixed Traffic</v>
      </c>
      <c r="AX129" t="s">
        <v>609</v>
      </c>
    </row>
    <row r="130" spans="1:50" x14ac:dyDescent="0.25">
      <c r="A130" t="s">
        <v>58</v>
      </c>
      <c r="B130" t="s">
        <v>367</v>
      </c>
      <c r="C130" t="s">
        <v>323</v>
      </c>
      <c r="D130" t="s">
        <v>333</v>
      </c>
      <c r="E130" t="s">
        <v>335</v>
      </c>
      <c r="F130">
        <v>1961</v>
      </c>
      <c r="G130">
        <v>1967</v>
      </c>
      <c r="H130">
        <v>1987</v>
      </c>
      <c r="J130">
        <v>1250</v>
      </c>
      <c r="S130">
        <v>74.2</v>
      </c>
      <c r="V130">
        <v>170</v>
      </c>
      <c r="W130" s="4">
        <f t="shared" ref="W130:W194" si="6">IF(AND(S130&gt;0,V130&gt;0),(V130/((S130+T130)*10)),"")</f>
        <v>0.22911051212938005</v>
      </c>
      <c r="X130">
        <v>90</v>
      </c>
      <c r="Z130">
        <v>15.39</v>
      </c>
      <c r="AA130">
        <v>15.39</v>
      </c>
      <c r="AC130">
        <v>3.86</v>
      </c>
      <c r="AE130" t="str">
        <f>CONCATENATE(VLOOKUP(AF130, 'Voxel Sizes'!$A$2:$B$18,2,FALSE),"x",INT(AB130*15), "x", INT(AC130*15))</f>
        <v>152x0x57</v>
      </c>
      <c r="AF130">
        <f t="shared" ref="AF130:AF194" si="7">ROUND(15*((AA130*10)/256),0)</f>
        <v>9</v>
      </c>
      <c r="AH130" t="str">
        <f>CONCATENATE(VLOOKUP(AF130,'Articulated Lengths'!$A$2:$C$16,IF(AG130&lt;&gt;"", 3, 2), FALSE),IF(AG130&lt;&gt;"",CONCATENATE(",",VLOOKUP(AG130,$B$2:$AH$219,33,FALSE)),""))</f>
        <v>2,2,5</v>
      </c>
      <c r="AO130">
        <v>10</v>
      </c>
      <c r="AP130">
        <v>10</v>
      </c>
      <c r="AU130" t="str">
        <f>VLOOKUP(F130,Eras!$A$2:$C$10, 2, TRUE)</f>
        <v>dsl</v>
      </c>
      <c r="AV130" t="s">
        <v>391</v>
      </c>
      <c r="AW130" t="str">
        <f t="shared" ref="AW130:AW194" si="8">CONCATENATE(AU130,"_",AV130)</f>
        <v>dsl_Freight</v>
      </c>
      <c r="AX130" t="s">
        <v>610</v>
      </c>
    </row>
    <row r="131" spans="1:50" x14ac:dyDescent="0.25">
      <c r="A131" t="s">
        <v>615</v>
      </c>
      <c r="B131" t="s">
        <v>215</v>
      </c>
      <c r="C131" t="s">
        <v>323</v>
      </c>
      <c r="D131" t="s">
        <v>333</v>
      </c>
      <c r="E131" t="s">
        <v>335</v>
      </c>
      <c r="F131">
        <v>1962</v>
      </c>
      <c r="G131">
        <v>1968</v>
      </c>
      <c r="J131">
        <v>2750</v>
      </c>
      <c r="S131">
        <v>114</v>
      </c>
      <c r="V131">
        <v>245</v>
      </c>
      <c r="W131" s="4">
        <f t="shared" si="6"/>
        <v>0.21491228070175439</v>
      </c>
      <c r="X131">
        <v>95</v>
      </c>
      <c r="Z131">
        <v>19.38</v>
      </c>
      <c r="AA131">
        <v>19.38</v>
      </c>
      <c r="AC131">
        <v>3.9</v>
      </c>
      <c r="AE131" t="str">
        <f>CONCATENATE(VLOOKUP(AF131, 'Voxel Sizes'!$A$2:$B$18,2,FALSE),"x",INT(AB131*15), "x", INT(AC131*15))</f>
        <v>186x0x58</v>
      </c>
      <c r="AF131">
        <f t="shared" si="7"/>
        <v>11</v>
      </c>
      <c r="AH131" t="str">
        <f>CONCATENATE(VLOOKUP(AF131,'Articulated Lengths'!$A$2:$C$16,IF(AG131&lt;&gt;"", 3, 2), FALSE),IF(AG131&lt;&gt;"",CONCATENATE(",",VLOOKUP(AG131,$B$2:$AH$219,33,FALSE)),""))</f>
        <v>3,3,5</v>
      </c>
      <c r="AO131">
        <v>10</v>
      </c>
      <c r="AP131">
        <v>10</v>
      </c>
      <c r="AU131" t="str">
        <f>VLOOKUP(F131,Eras!$A$2:$C$10, 2, TRUE)</f>
        <v>dsl</v>
      </c>
      <c r="AV131" t="s">
        <v>391</v>
      </c>
      <c r="AW131" t="str">
        <f t="shared" si="8"/>
        <v>dsl_Freight</v>
      </c>
      <c r="AX131" t="s">
        <v>614</v>
      </c>
    </row>
    <row r="132" spans="1:50" x14ac:dyDescent="0.25">
      <c r="A132" t="s">
        <v>63</v>
      </c>
      <c r="B132" t="s">
        <v>216</v>
      </c>
      <c r="C132" t="s">
        <v>323</v>
      </c>
      <c r="D132" t="s">
        <v>333</v>
      </c>
      <c r="E132" t="s">
        <v>335</v>
      </c>
      <c r="F132">
        <v>1962</v>
      </c>
      <c r="G132">
        <v>1965</v>
      </c>
      <c r="H132">
        <v>1971</v>
      </c>
      <c r="J132">
        <v>900</v>
      </c>
      <c r="S132">
        <v>69</v>
      </c>
      <c r="V132">
        <v>178</v>
      </c>
      <c r="W132" s="4">
        <f t="shared" si="6"/>
        <v>0.25797101449275361</v>
      </c>
      <c r="X132">
        <v>60</v>
      </c>
      <c r="Z132">
        <v>15.4</v>
      </c>
      <c r="AA132">
        <v>15.4</v>
      </c>
      <c r="AC132">
        <v>3.86</v>
      </c>
      <c r="AE132" t="str">
        <f>CONCATENATE(VLOOKUP(AF132, 'Voxel Sizes'!$A$2:$B$18,2,FALSE),"x",INT(AB132*15), "x", INT(AC132*15))</f>
        <v>152x0x57</v>
      </c>
      <c r="AF132">
        <f t="shared" si="7"/>
        <v>9</v>
      </c>
      <c r="AH132" t="str">
        <f>CONCATENATE(VLOOKUP(AF132,'Articulated Lengths'!$A$2:$C$16,IF(AG132&lt;&gt;"", 3, 2), FALSE),IF(AG132&lt;&gt;"",CONCATENATE(",",VLOOKUP(AG132,$B$2:$AH$219,33,FALSE)),""))</f>
        <v>2,2,5</v>
      </c>
      <c r="AO132">
        <v>10</v>
      </c>
      <c r="AP132">
        <v>10</v>
      </c>
      <c r="AU132" t="str">
        <f>VLOOKUP(F132,Eras!$A$2:$C$10, 2, TRUE)</f>
        <v>dsl</v>
      </c>
      <c r="AV132" t="s">
        <v>388</v>
      </c>
      <c r="AW132" t="str">
        <f t="shared" si="8"/>
        <v>dsl_Cheap</v>
      </c>
      <c r="AX132" t="s">
        <v>616</v>
      </c>
    </row>
    <row r="133" spans="1:50" x14ac:dyDescent="0.25">
      <c r="A133" t="s">
        <v>62</v>
      </c>
      <c r="B133" t="s">
        <v>617</v>
      </c>
      <c r="C133" t="s">
        <v>323</v>
      </c>
      <c r="D133" t="s">
        <v>333</v>
      </c>
      <c r="E133" t="s">
        <v>335</v>
      </c>
      <c r="F133">
        <v>1964</v>
      </c>
      <c r="G133">
        <v>1965</v>
      </c>
      <c r="H133">
        <v>1984</v>
      </c>
      <c r="J133">
        <v>650</v>
      </c>
      <c r="S133">
        <v>48.5</v>
      </c>
      <c r="V133">
        <v>137</v>
      </c>
      <c r="W133" s="4">
        <f t="shared" si="6"/>
        <v>0.28247422680412371</v>
      </c>
      <c r="X133">
        <v>40</v>
      </c>
      <c r="Z133">
        <v>10.3</v>
      </c>
      <c r="AA133">
        <v>10.3</v>
      </c>
      <c r="AE133" t="str">
        <f>CONCATENATE(VLOOKUP(AF133, 'Voxel Sizes'!$A$2:$B$18,2,FALSE),"x",INT(AB133*15), "x", INT(AC133*15))</f>
        <v>102x0x0</v>
      </c>
      <c r="AF133">
        <f t="shared" si="7"/>
        <v>6</v>
      </c>
      <c r="AH133" t="str">
        <f>CONCATENATE(VLOOKUP(AF133,'Articulated Lengths'!$A$2:$C$16,IF(AG133&lt;&gt;"", 3, 2), FALSE),IF(AG133&lt;&gt;"",CONCATENATE(",",VLOOKUP(AG133,$B$2:$AH$219,33,FALSE)),""))</f>
        <v>2,2,2</v>
      </c>
      <c r="AN133">
        <v>1</v>
      </c>
      <c r="AO133">
        <v>10</v>
      </c>
      <c r="AP133">
        <v>10</v>
      </c>
      <c r="AU133" t="str">
        <f>VLOOKUP(F133,Eras!$A$2:$C$10, 2, TRUE)</f>
        <v>dsl</v>
      </c>
      <c r="AV133" t="s">
        <v>388</v>
      </c>
      <c r="AW133" t="str">
        <f t="shared" si="8"/>
        <v>dsl_Cheap</v>
      </c>
      <c r="AX133" t="s">
        <v>618</v>
      </c>
    </row>
    <row r="134" spans="1:50" x14ac:dyDescent="0.25">
      <c r="A134" t="s">
        <v>705</v>
      </c>
      <c r="B134" t="s">
        <v>313</v>
      </c>
      <c r="C134" t="s">
        <v>475</v>
      </c>
      <c r="D134" t="s">
        <v>357</v>
      </c>
      <c r="E134" t="s">
        <v>365</v>
      </c>
      <c r="F134">
        <v>1964</v>
      </c>
      <c r="G134">
        <v>1972</v>
      </c>
      <c r="H134">
        <v>2005</v>
      </c>
      <c r="I134">
        <v>4</v>
      </c>
      <c r="J134">
        <v>1000</v>
      </c>
      <c r="S134">
        <v>152</v>
      </c>
      <c r="V134">
        <v>125</v>
      </c>
      <c r="W134" s="4">
        <f t="shared" si="6"/>
        <v>8.2236842105263164E-2</v>
      </c>
      <c r="X134">
        <v>90</v>
      </c>
      <c r="Z134">
        <f>80.98/4</f>
        <v>20.245000000000001</v>
      </c>
      <c r="AA134">
        <v>20.239999999999998</v>
      </c>
      <c r="AB134">
        <v>2.82</v>
      </c>
      <c r="AC134">
        <v>3.89</v>
      </c>
      <c r="AD134" s="11">
        <v>54</v>
      </c>
      <c r="AE134" t="str">
        <f>CONCATENATE(VLOOKUP(AF134, 'Voxel Sizes'!$A$2:$B$18,2,FALSE),"x",INT(AB134*15), "x", INT(AC134*15))</f>
        <v>198x42x58</v>
      </c>
      <c r="AF134">
        <f t="shared" si="7"/>
        <v>12</v>
      </c>
      <c r="AH134" t="str">
        <f>CONCATENATE(VLOOKUP(AF134,'Articulated Lengths'!$A$2:$C$16,IF(AG134&lt;&gt;"", 3, 2), FALSE),IF(AG134&lt;&gt;"",CONCATENATE(",",VLOOKUP(AG134,$B$2:$AH$219,33,FALSE)),""))</f>
        <v>3,3,6</v>
      </c>
      <c r="AJ134" t="s">
        <v>715</v>
      </c>
      <c r="AL134" t="s">
        <v>713</v>
      </c>
      <c r="AO134">
        <v>10</v>
      </c>
      <c r="AP134">
        <v>10</v>
      </c>
      <c r="AT134" t="s">
        <v>344</v>
      </c>
      <c r="AU134" t="str">
        <f>VLOOKUP(F134,Eras!$A$2:$C$10, 2, TRUE)</f>
        <v>dsl</v>
      </c>
      <c r="AV134" t="s">
        <v>396</v>
      </c>
      <c r="AW134" t="str">
        <f t="shared" si="8"/>
        <v>dsl_EMU (Express)</v>
      </c>
      <c r="AX134" t="s">
        <v>712</v>
      </c>
    </row>
    <row r="135" spans="1:50" x14ac:dyDescent="0.25">
      <c r="A135" t="s">
        <v>64</v>
      </c>
      <c r="B135" t="s">
        <v>310</v>
      </c>
      <c r="C135" t="s">
        <v>323</v>
      </c>
      <c r="D135" t="s">
        <v>619</v>
      </c>
      <c r="E135" t="s">
        <v>335</v>
      </c>
      <c r="F135">
        <v>1965</v>
      </c>
      <c r="G135">
        <v>1967</v>
      </c>
      <c r="J135">
        <v>1420</v>
      </c>
      <c r="K135" s="9">
        <v>600</v>
      </c>
      <c r="S135">
        <v>76.3</v>
      </c>
      <c r="V135">
        <v>186</v>
      </c>
      <c r="W135" s="4">
        <f t="shared" si="6"/>
        <v>0.24377457404980341</v>
      </c>
      <c r="X135">
        <v>80</v>
      </c>
      <c r="Z135">
        <v>16.36</v>
      </c>
      <c r="AA135">
        <v>16.36</v>
      </c>
      <c r="AE135" t="str">
        <f>CONCATENATE(VLOOKUP(AF135, 'Voxel Sizes'!$A$2:$B$18,2,FALSE),"x",INT(AB135*15), "x", INT(AC135*15))</f>
        <v>164x0x0</v>
      </c>
      <c r="AF135">
        <f t="shared" si="7"/>
        <v>10</v>
      </c>
      <c r="AH135" t="str">
        <f>CONCATENATE(VLOOKUP(AF135,'Articulated Lengths'!$A$2:$C$16,IF(AG135&lt;&gt;"", 3, 2), FALSE),IF(AG135&lt;&gt;"",CONCATENATE(",",VLOOKUP(AG135,$B$2:$AH$219,33,FALSE)),""))</f>
        <v>3,3,4</v>
      </c>
      <c r="AO135">
        <v>10</v>
      </c>
      <c r="AP135">
        <v>10</v>
      </c>
      <c r="AU135" t="str">
        <f>VLOOKUP(F135,Eras!$A$2:$C$10, 2, TRUE)</f>
        <v>dsl</v>
      </c>
      <c r="AW135" t="str">
        <f t="shared" si="8"/>
        <v>dsl_</v>
      </c>
      <c r="AX135" t="s">
        <v>621</v>
      </c>
    </row>
    <row r="136" spans="1:50" x14ac:dyDescent="0.25">
      <c r="A136" t="s">
        <v>71</v>
      </c>
      <c r="B136" t="s">
        <v>311</v>
      </c>
      <c r="C136" t="s">
        <v>323</v>
      </c>
      <c r="D136" t="s">
        <v>357</v>
      </c>
      <c r="E136" t="s">
        <v>358</v>
      </c>
      <c r="F136">
        <v>1965</v>
      </c>
      <c r="G136">
        <v>1966</v>
      </c>
      <c r="J136">
        <v>3600</v>
      </c>
      <c r="S136">
        <v>82</v>
      </c>
      <c r="V136">
        <v>267</v>
      </c>
      <c r="W136" s="4">
        <f t="shared" si="6"/>
        <v>0.32560975609756099</v>
      </c>
      <c r="X136">
        <v>100</v>
      </c>
      <c r="Z136">
        <v>17.829999999999998</v>
      </c>
      <c r="AA136">
        <v>17.829999999999998</v>
      </c>
      <c r="AC136">
        <v>3.77</v>
      </c>
      <c r="AE136" t="str">
        <f>CONCATENATE(VLOOKUP(AF136, 'Voxel Sizes'!$A$2:$B$18,2,FALSE),"x",INT(AB136*15), "x", INT(AC136*15))</f>
        <v>164x0x56</v>
      </c>
      <c r="AF136">
        <f t="shared" si="7"/>
        <v>10</v>
      </c>
      <c r="AH136" t="str">
        <f>CONCATENATE(VLOOKUP(AF136,'Articulated Lengths'!$A$2:$C$16,IF(AG136&lt;&gt;"", 3, 2), FALSE),IF(AG136&lt;&gt;"",CONCATENATE(",",VLOOKUP(AG136,$B$2:$AH$219,33,FALSE)),""))</f>
        <v>3,3,4</v>
      </c>
      <c r="AO136">
        <v>10</v>
      </c>
      <c r="AP136">
        <v>10</v>
      </c>
      <c r="AU136" t="str">
        <f>VLOOKUP(F136,Eras!$A$2:$C$10, 2, TRUE)</f>
        <v>dsl</v>
      </c>
      <c r="AV136" t="s">
        <v>400</v>
      </c>
      <c r="AW136" t="str">
        <f t="shared" si="8"/>
        <v>dsl_Express (Electric)</v>
      </c>
      <c r="AX136" t="s">
        <v>597</v>
      </c>
    </row>
    <row r="137" spans="1:50" x14ac:dyDescent="0.25">
      <c r="A137" t="s">
        <v>98</v>
      </c>
      <c r="B137" t="s">
        <v>709</v>
      </c>
      <c r="C137" t="s">
        <v>475</v>
      </c>
      <c r="D137" t="s">
        <v>357</v>
      </c>
      <c r="E137" t="s">
        <v>358</v>
      </c>
      <c r="F137">
        <v>1965</v>
      </c>
      <c r="H137">
        <v>2002</v>
      </c>
      <c r="I137">
        <v>4</v>
      </c>
      <c r="J137">
        <v>1080</v>
      </c>
      <c r="S137">
        <v>158</v>
      </c>
      <c r="V137">
        <v>130</v>
      </c>
      <c r="W137" s="4">
        <f t="shared" si="6"/>
        <v>8.2278481012658222E-2</v>
      </c>
      <c r="X137">
        <v>75</v>
      </c>
      <c r="Z137">
        <v>19.850000000000001</v>
      </c>
      <c r="AA137">
        <v>19.850000000000001</v>
      </c>
      <c r="AB137">
        <v>2.82</v>
      </c>
      <c r="AC137">
        <v>3.97</v>
      </c>
      <c r="AD137" s="11">
        <v>57</v>
      </c>
      <c r="AE137" t="str">
        <f>CONCATENATE(VLOOKUP(AF137, 'Voxel Sizes'!$A$2:$B$18,2,FALSE),"x",INT(AB137*15), "x", INT(AC137*15))</f>
        <v>198x42x59</v>
      </c>
      <c r="AF137">
        <f t="shared" si="7"/>
        <v>12</v>
      </c>
      <c r="AH137" t="str">
        <f>CONCATENATE(VLOOKUP(AF137,'Articulated Lengths'!$A$2:$C$16,IF(AG137&lt;&gt;"", 3, 2), FALSE),IF(AG137&lt;&gt;"",CONCATENATE(",",VLOOKUP(AG137,$B$2:$AH$219,33,FALSE)),""))</f>
        <v>3,3,6</v>
      </c>
      <c r="AJ137" t="s">
        <v>710</v>
      </c>
      <c r="AL137" t="s">
        <v>633</v>
      </c>
      <c r="AO137">
        <v>10</v>
      </c>
      <c r="AP137">
        <v>10</v>
      </c>
      <c r="AT137" t="s">
        <v>344</v>
      </c>
      <c r="AU137" t="str">
        <f>VLOOKUP(F137,Eras!$A$2:$C$10, 2, TRUE)</f>
        <v>dsl</v>
      </c>
      <c r="AV137" t="s">
        <v>394</v>
      </c>
      <c r="AW137" t="str">
        <f t="shared" si="8"/>
        <v>dsl_DMU (Express)</v>
      </c>
      <c r="AX137" t="s">
        <v>711</v>
      </c>
    </row>
    <row r="138" spans="1:50" x14ac:dyDescent="0.25">
      <c r="A138" t="s">
        <v>54</v>
      </c>
      <c r="B138" t="s">
        <v>217</v>
      </c>
      <c r="C138" t="s">
        <v>323</v>
      </c>
      <c r="D138" t="s">
        <v>333</v>
      </c>
      <c r="E138" t="s">
        <v>335</v>
      </c>
      <c r="F138">
        <v>1967</v>
      </c>
      <c r="G138">
        <v>1968</v>
      </c>
      <c r="H138">
        <v>1994</v>
      </c>
      <c r="J138">
        <v>2700</v>
      </c>
      <c r="S138">
        <v>117</v>
      </c>
      <c r="V138">
        <v>216</v>
      </c>
      <c r="W138" s="4">
        <f t="shared" si="6"/>
        <v>0.18461538461538463</v>
      </c>
      <c r="X138">
        <v>100</v>
      </c>
      <c r="Z138">
        <v>20.88</v>
      </c>
      <c r="AA138">
        <v>20.88</v>
      </c>
      <c r="AC138">
        <v>3.89</v>
      </c>
      <c r="AE138" t="str">
        <f>CONCATENATE(VLOOKUP(AF138, 'Voxel Sizes'!$A$2:$B$18,2,FALSE),"x",INT(AB138*15), "x", INT(AC138*15))</f>
        <v>198x0x58</v>
      </c>
      <c r="AF138">
        <f t="shared" si="7"/>
        <v>12</v>
      </c>
      <c r="AH138" t="str">
        <f>CONCATENATE(VLOOKUP(AF138,'Articulated Lengths'!$A$2:$C$16,IF(AG138&lt;&gt;"", 3, 2), FALSE),IF(AG138&lt;&gt;"",CONCATENATE(",",VLOOKUP(AG138,$B$2:$AH$219,33,FALSE)),""))</f>
        <v>3,3,6</v>
      </c>
      <c r="AO138">
        <v>10</v>
      </c>
      <c r="AP138">
        <v>10</v>
      </c>
      <c r="AU138" t="str">
        <f>VLOOKUP(F138,Eras!$A$2:$C$10, 2, TRUE)</f>
        <v>dsl</v>
      </c>
      <c r="AV138" t="s">
        <v>390</v>
      </c>
      <c r="AW138" t="str">
        <f t="shared" si="8"/>
        <v>dsl_Express</v>
      </c>
      <c r="AX138" t="s">
        <v>622</v>
      </c>
    </row>
    <row r="139" spans="1:50" x14ac:dyDescent="0.25">
      <c r="A139" t="s">
        <v>117</v>
      </c>
      <c r="B139" t="s">
        <v>241</v>
      </c>
      <c r="C139" t="s">
        <v>181</v>
      </c>
      <c r="E139" t="s">
        <v>335</v>
      </c>
      <c r="F139">
        <v>1967</v>
      </c>
      <c r="W139" s="4" t="str">
        <f t="shared" si="6"/>
        <v/>
      </c>
      <c r="AE139" t="str">
        <f>CONCATENATE(VLOOKUP(AF139, 'Voxel Sizes'!$A$2:$B$18,2,FALSE),"x",INT(AB139*15), "x", INT(AC139*15))</f>
        <v>0x0x0</v>
      </c>
      <c r="AF139">
        <f t="shared" si="7"/>
        <v>0</v>
      </c>
      <c r="AH139" t="str">
        <f>CONCATENATE(VLOOKUP(AF139,'Articulated Lengths'!$A$2:$C$16,IF(AG139&lt;&gt;"", 3, 2), FALSE),IF(AG139&lt;&gt;"",CONCATENATE(",",VLOOKUP(AG139,$B$2:$AH$219,33,FALSE)),""))</f>
        <v>na</v>
      </c>
      <c r="AO139">
        <v>10</v>
      </c>
      <c r="AP139">
        <v>10</v>
      </c>
      <c r="AU139" t="str">
        <f>VLOOKUP(F139,Eras!$A$2:$C$10, 2, TRUE)</f>
        <v>dsl</v>
      </c>
      <c r="AV139" t="s">
        <v>407</v>
      </c>
      <c r="AW139" t="str">
        <f t="shared" si="8"/>
        <v>dsl_LU</v>
      </c>
    </row>
    <row r="140" spans="1:50" x14ac:dyDescent="0.25">
      <c r="A140" t="s">
        <v>118</v>
      </c>
      <c r="B140" t="s">
        <v>242</v>
      </c>
      <c r="C140" t="s">
        <v>181</v>
      </c>
      <c r="E140" t="s">
        <v>335</v>
      </c>
      <c r="F140">
        <v>1969</v>
      </c>
      <c r="W140" s="4" t="str">
        <f t="shared" si="6"/>
        <v/>
      </c>
      <c r="AE140" t="str">
        <f>CONCATENATE(VLOOKUP(AF140, 'Voxel Sizes'!$A$2:$B$18,2,FALSE),"x",INT(AB140*15), "x", INT(AC140*15))</f>
        <v>0x0x0</v>
      </c>
      <c r="AF140">
        <f t="shared" si="7"/>
        <v>0</v>
      </c>
      <c r="AH140" t="str">
        <f>CONCATENATE(VLOOKUP(AF140,'Articulated Lengths'!$A$2:$C$16,IF(AG140&lt;&gt;"", 3, 2), FALSE),IF(AG140&lt;&gt;"",CONCATENATE(",",VLOOKUP(AG140,$B$2:$AH$219,33,FALSE)),""))</f>
        <v>na</v>
      </c>
      <c r="AO140">
        <v>10</v>
      </c>
      <c r="AP140">
        <v>10</v>
      </c>
      <c r="AU140" t="str">
        <f>VLOOKUP(F140,Eras!$A$2:$C$10, 2, TRUE)</f>
        <v>dsl</v>
      </c>
      <c r="AV140" t="s">
        <v>407</v>
      </c>
      <c r="AW140" t="str">
        <f t="shared" si="8"/>
        <v>dsl_LU</v>
      </c>
    </row>
    <row r="141" spans="1:50" x14ac:dyDescent="0.25">
      <c r="A141" t="s">
        <v>72</v>
      </c>
      <c r="B141" t="s">
        <v>218</v>
      </c>
      <c r="C141" t="s">
        <v>323</v>
      </c>
      <c r="D141" t="s">
        <v>357</v>
      </c>
      <c r="E141" t="s">
        <v>335</v>
      </c>
      <c r="F141">
        <v>1973</v>
      </c>
      <c r="G141">
        <v>1975</v>
      </c>
      <c r="H141">
        <v>2006</v>
      </c>
      <c r="J141">
        <v>5000</v>
      </c>
      <c r="S141">
        <v>81</v>
      </c>
      <c r="V141">
        <v>258</v>
      </c>
      <c r="W141" s="4">
        <f t="shared" si="6"/>
        <v>0.31851851851851853</v>
      </c>
      <c r="X141">
        <v>110</v>
      </c>
      <c r="Z141">
        <v>17.829999999999998</v>
      </c>
      <c r="AA141">
        <v>17.829999999999998</v>
      </c>
      <c r="AC141">
        <v>3.77</v>
      </c>
      <c r="AE141" t="str">
        <f>CONCATENATE(VLOOKUP(AF141, 'Voxel Sizes'!$A$2:$B$18,2,FALSE),"x",INT(AB141*15), "x", INT(AC141*15))</f>
        <v>164x0x56</v>
      </c>
      <c r="AF141">
        <f t="shared" si="7"/>
        <v>10</v>
      </c>
      <c r="AH141" t="str">
        <f>CONCATENATE(VLOOKUP(AF141,'Articulated Lengths'!$A$2:$C$16,IF(AG141&lt;&gt;"", 3, 2), FALSE),IF(AG141&lt;&gt;"",CONCATENATE(",",VLOOKUP(AG141,$B$2:$AH$219,33,FALSE)),""))</f>
        <v>3,3,4</v>
      </c>
      <c r="AO141">
        <v>10</v>
      </c>
      <c r="AP141">
        <v>10</v>
      </c>
      <c r="AU141" t="str">
        <f>VLOOKUP(F141,Eras!$A$2:$C$10, 2, TRUE)</f>
        <v>lbr</v>
      </c>
      <c r="AV141" t="s">
        <v>400</v>
      </c>
      <c r="AW141" t="str">
        <f t="shared" si="8"/>
        <v>lbr_Express (Electric)</v>
      </c>
      <c r="AX141" t="s">
        <v>623</v>
      </c>
    </row>
    <row r="142" spans="1:50" x14ac:dyDescent="0.25">
      <c r="A142" t="s">
        <v>119</v>
      </c>
      <c r="B142" t="s">
        <v>243</v>
      </c>
      <c r="C142" t="s">
        <v>181</v>
      </c>
      <c r="E142" t="s">
        <v>335</v>
      </c>
      <c r="F142">
        <v>1973</v>
      </c>
      <c r="W142" s="4" t="str">
        <f t="shared" si="6"/>
        <v/>
      </c>
      <c r="AE142" t="str">
        <f>CONCATENATE(VLOOKUP(AF142, 'Voxel Sizes'!$A$2:$B$18,2,FALSE),"x",INT(AB142*15), "x", INT(AC142*15))</f>
        <v>0x0x0</v>
      </c>
      <c r="AF142">
        <f t="shared" si="7"/>
        <v>0</v>
      </c>
      <c r="AH142" t="str">
        <f>CONCATENATE(VLOOKUP(AF142,'Articulated Lengths'!$A$2:$C$16,IF(AG142&lt;&gt;"", 3, 2), FALSE),IF(AG142&lt;&gt;"",CONCATENATE(",",VLOOKUP(AG142,$B$2:$AH$219,33,FALSE)),""))</f>
        <v>na</v>
      </c>
      <c r="AO142">
        <v>10</v>
      </c>
      <c r="AP142">
        <v>10</v>
      </c>
      <c r="AU142" t="str">
        <f>VLOOKUP(F142,Eras!$A$2:$C$10, 2, TRUE)</f>
        <v>lbr</v>
      </c>
      <c r="AV142" t="s">
        <v>407</v>
      </c>
      <c r="AW142" t="str">
        <f t="shared" si="8"/>
        <v>lbr_LU</v>
      </c>
    </row>
    <row r="143" spans="1:50" x14ac:dyDescent="0.25">
      <c r="A143" t="s">
        <v>45</v>
      </c>
      <c r="B143" t="s">
        <v>368</v>
      </c>
      <c r="C143" t="s">
        <v>323</v>
      </c>
      <c r="D143" t="s">
        <v>333</v>
      </c>
      <c r="E143" t="s">
        <v>335</v>
      </c>
      <c r="F143">
        <v>1975</v>
      </c>
      <c r="G143">
        <v>1982</v>
      </c>
      <c r="H143">
        <v>2021</v>
      </c>
      <c r="J143">
        <v>1770</v>
      </c>
      <c r="S143">
        <v>70.25</v>
      </c>
      <c r="V143">
        <v>160</v>
      </c>
      <c r="W143" s="4">
        <f t="shared" si="6"/>
        <v>0.22775800711743771</v>
      </c>
      <c r="X143">
        <v>125</v>
      </c>
      <c r="Z143">
        <v>17.79</v>
      </c>
      <c r="AA143">
        <v>17.79</v>
      </c>
      <c r="AE143" t="str">
        <f>CONCATENATE(VLOOKUP(AF143, 'Voxel Sizes'!$A$2:$B$18,2,FALSE),"x",INT(AB143*15), "x", INT(AC143*15))</f>
        <v>164x0x0</v>
      </c>
      <c r="AF143">
        <f t="shared" si="7"/>
        <v>10</v>
      </c>
      <c r="AH143" t="str">
        <f>CONCATENATE(VLOOKUP(AF143,'Articulated Lengths'!$A$2:$C$16,IF(AG143&lt;&gt;"", 3, 2), FALSE),IF(AG143&lt;&gt;"",CONCATENATE(",",VLOOKUP(AG143,$B$2:$AH$219,33,FALSE)),""))</f>
        <v>3,3,4</v>
      </c>
      <c r="AO143">
        <v>10</v>
      </c>
      <c r="AP143">
        <v>10</v>
      </c>
      <c r="AQ143">
        <v>1</v>
      </c>
      <c r="AU143" t="str">
        <f>VLOOKUP(F143,Eras!$A$2:$C$10, 2, TRUE)</f>
        <v>lbr</v>
      </c>
      <c r="AV143" t="s">
        <v>390</v>
      </c>
      <c r="AW143" t="str">
        <f t="shared" si="8"/>
        <v>lbr_Express</v>
      </c>
      <c r="AX143" t="s">
        <v>428</v>
      </c>
    </row>
    <row r="144" spans="1:50" x14ac:dyDescent="0.25">
      <c r="A144" t="s">
        <v>133</v>
      </c>
      <c r="B144" t="s">
        <v>320</v>
      </c>
      <c r="C144" t="s">
        <v>342</v>
      </c>
      <c r="E144" t="s">
        <v>335</v>
      </c>
      <c r="F144">
        <v>1975</v>
      </c>
      <c r="S144">
        <v>34</v>
      </c>
      <c r="U144">
        <v>9</v>
      </c>
      <c r="W144" s="4" t="str">
        <f t="shared" si="6"/>
        <v/>
      </c>
      <c r="X144">
        <v>125</v>
      </c>
      <c r="Z144">
        <v>23</v>
      </c>
      <c r="AA144">
        <v>23</v>
      </c>
      <c r="AB144">
        <v>2.82</v>
      </c>
      <c r="AC144">
        <v>3.79</v>
      </c>
      <c r="AD144" s="11">
        <v>72</v>
      </c>
      <c r="AE144" t="str">
        <f>CONCATENATE(VLOOKUP(AF144, 'Voxel Sizes'!$A$2:$B$18,2,FALSE),"x",INT(AB144*15), "x", INT(AC144*15))</f>
        <v>214x42x56</v>
      </c>
      <c r="AF144">
        <f t="shared" si="7"/>
        <v>13</v>
      </c>
      <c r="AH144" t="str">
        <f>CONCATENATE(VLOOKUP(AF144,'Articulated Lengths'!$A$2:$C$16,IF(AG144&lt;&gt;"", 3, 2), FALSE),IF(AG144&lt;&gt;"",CONCATENATE(",",VLOOKUP(AG144,$B$2:$AH$219,33,FALSE)),""))</f>
        <v>4,4,5</v>
      </c>
      <c r="AO144">
        <v>10</v>
      </c>
      <c r="AP144">
        <v>10</v>
      </c>
      <c r="AT144" t="s">
        <v>344</v>
      </c>
      <c r="AU144" t="str">
        <f>VLOOKUP(F144,Eras!$A$2:$C$10, 2, TRUE)</f>
        <v>lbr</v>
      </c>
      <c r="AV144" t="s">
        <v>397</v>
      </c>
      <c r="AW144" t="str">
        <f t="shared" si="8"/>
        <v>lbr_Carriage</v>
      </c>
      <c r="AX144" t="s">
        <v>424</v>
      </c>
    </row>
    <row r="145" spans="1:50" x14ac:dyDescent="0.25">
      <c r="A145" t="s">
        <v>624</v>
      </c>
      <c r="B145" t="s">
        <v>626</v>
      </c>
      <c r="C145" t="s">
        <v>323</v>
      </c>
      <c r="D145" t="s">
        <v>333</v>
      </c>
      <c r="E145" t="s">
        <v>335</v>
      </c>
      <c r="F145">
        <v>1976</v>
      </c>
      <c r="G145">
        <v>1984</v>
      </c>
      <c r="J145">
        <v>3250</v>
      </c>
      <c r="S145">
        <v>125</v>
      </c>
      <c r="V145">
        <v>275</v>
      </c>
      <c r="W145" s="4">
        <f t="shared" si="6"/>
        <v>0.22</v>
      </c>
      <c r="X145">
        <v>80</v>
      </c>
      <c r="Z145">
        <v>19.350000000000001</v>
      </c>
      <c r="AA145">
        <v>19.350000000000001</v>
      </c>
      <c r="AC145">
        <v>3.89</v>
      </c>
      <c r="AE145" t="str">
        <f>CONCATENATE(VLOOKUP(AF145, 'Voxel Sizes'!$A$2:$B$18,2,FALSE),"x",INT(AB145*15), "x", INT(AC145*15))</f>
        <v>186x0x58</v>
      </c>
      <c r="AF145">
        <f t="shared" si="7"/>
        <v>11</v>
      </c>
      <c r="AH145" t="str">
        <f>CONCATENATE(VLOOKUP(AF145,'Articulated Lengths'!$A$2:$C$16,IF(AG145&lt;&gt;"", 3, 2), FALSE),IF(AG145&lt;&gt;"",CONCATENATE(",",VLOOKUP(AG145,$B$2:$AH$219,33,FALSE)),""))</f>
        <v>3,3,5</v>
      </c>
      <c r="AO145">
        <v>10</v>
      </c>
      <c r="AP145">
        <v>10</v>
      </c>
      <c r="AU145" t="str">
        <f>VLOOKUP(F145,Eras!$A$2:$C$10, 2, TRUE)</f>
        <v>lbr</v>
      </c>
      <c r="AV145" t="s">
        <v>391</v>
      </c>
      <c r="AW145" t="str">
        <f t="shared" si="8"/>
        <v>lbr_Freight</v>
      </c>
      <c r="AX145" t="s">
        <v>625</v>
      </c>
    </row>
    <row r="146" spans="1:50" x14ac:dyDescent="0.25">
      <c r="A146" t="s">
        <v>90</v>
      </c>
      <c r="B146" t="s">
        <v>229</v>
      </c>
      <c r="C146" t="s">
        <v>475</v>
      </c>
      <c r="D146" t="s">
        <v>630</v>
      </c>
      <c r="E146" t="s">
        <v>629</v>
      </c>
      <c r="F146">
        <v>1976</v>
      </c>
      <c r="G146">
        <v>1977</v>
      </c>
      <c r="H146" t="s">
        <v>164</v>
      </c>
      <c r="I146">
        <v>3</v>
      </c>
      <c r="J146">
        <v>880</v>
      </c>
      <c r="S146">
        <v>104.5</v>
      </c>
      <c r="V146">
        <v>140</v>
      </c>
      <c r="W146" s="4">
        <f t="shared" si="6"/>
        <v>0.13397129186602871</v>
      </c>
      <c r="X146">
        <v>75</v>
      </c>
      <c r="Z146">
        <v>20.329999999999998</v>
      </c>
      <c r="AA146">
        <v>20.329999999999998</v>
      </c>
      <c r="AC146">
        <v>3.58</v>
      </c>
      <c r="AD146" s="11">
        <v>75</v>
      </c>
      <c r="AE146" t="str">
        <f>CONCATENATE(VLOOKUP(AF146, 'Voxel Sizes'!$A$2:$B$18,2,FALSE),"x",INT(AB146*15), "x", INT(AC146*15))</f>
        <v>198x0x53</v>
      </c>
      <c r="AF146">
        <f t="shared" si="7"/>
        <v>12</v>
      </c>
      <c r="AH146" t="str">
        <f>CONCATENATE(VLOOKUP(AF146,'Articulated Lengths'!$A$2:$C$16,IF(AG146&lt;&gt;"", 3, 2), FALSE),IF(AG146&lt;&gt;"",CONCATENATE(",",VLOOKUP(AG146,$B$2:$AH$219,33,FALSE)),""))</f>
        <v>3,3,6</v>
      </c>
      <c r="AJ146" t="s">
        <v>627</v>
      </c>
      <c r="AK146" t="s">
        <v>632</v>
      </c>
      <c r="AL146" t="s">
        <v>353</v>
      </c>
      <c r="AO146">
        <v>10</v>
      </c>
      <c r="AP146">
        <v>10</v>
      </c>
      <c r="AT146" t="s">
        <v>344</v>
      </c>
      <c r="AU146" t="str">
        <f>VLOOKUP(F146,Eras!$A$2:$C$10, 2, TRUE)</f>
        <v>lbr</v>
      </c>
      <c r="AV146" t="s">
        <v>395</v>
      </c>
      <c r="AW146" t="str">
        <f t="shared" si="8"/>
        <v>lbr_EMU</v>
      </c>
      <c r="AX146" t="s">
        <v>628</v>
      </c>
    </row>
    <row r="147" spans="1:50" x14ac:dyDescent="0.25">
      <c r="A147" t="s">
        <v>120</v>
      </c>
      <c r="B147" t="s">
        <v>244</v>
      </c>
      <c r="C147" t="s">
        <v>181</v>
      </c>
      <c r="E147" t="s">
        <v>335</v>
      </c>
      <c r="F147">
        <v>1978</v>
      </c>
      <c r="W147" s="4" t="str">
        <f t="shared" si="6"/>
        <v/>
      </c>
      <c r="AE147" t="str">
        <f>CONCATENATE(VLOOKUP(AF147, 'Voxel Sizes'!$A$2:$B$18,2,FALSE),"x",INT(AB147*15), "x", INT(AC147*15))</f>
        <v>0x0x0</v>
      </c>
      <c r="AF147">
        <f t="shared" si="7"/>
        <v>0</v>
      </c>
      <c r="AH147" t="str">
        <f>CONCATENATE(VLOOKUP(AF147,'Articulated Lengths'!$A$2:$C$16,IF(AG147&lt;&gt;"", 3, 2), FALSE),IF(AG147&lt;&gt;"",CONCATENATE(",",VLOOKUP(AG147,$B$2:$AH$219,33,FALSE)),""))</f>
        <v>na</v>
      </c>
      <c r="AO147">
        <v>10</v>
      </c>
      <c r="AP147">
        <v>10</v>
      </c>
      <c r="AU147" t="str">
        <f>VLOOKUP(F147,Eras!$A$2:$C$10, 2, TRUE)</f>
        <v>lbr</v>
      </c>
      <c r="AV147" t="s">
        <v>407</v>
      </c>
      <c r="AW147" t="str">
        <f t="shared" si="8"/>
        <v>lbr_LU</v>
      </c>
    </row>
    <row r="148" spans="1:50" x14ac:dyDescent="0.25">
      <c r="A148" t="s">
        <v>89</v>
      </c>
      <c r="B148" t="s">
        <v>228</v>
      </c>
      <c r="C148" t="s">
        <v>475</v>
      </c>
      <c r="D148" t="s">
        <v>357</v>
      </c>
      <c r="E148" t="s">
        <v>358</v>
      </c>
      <c r="F148">
        <v>1980</v>
      </c>
      <c r="G148">
        <v>1981</v>
      </c>
      <c r="H148" t="s">
        <v>164</v>
      </c>
      <c r="I148">
        <v>4</v>
      </c>
      <c r="J148">
        <v>880</v>
      </c>
      <c r="S148">
        <v>127.5</v>
      </c>
      <c r="V148">
        <v>140</v>
      </c>
      <c r="W148" s="4">
        <f t="shared" si="6"/>
        <v>0.10980392156862745</v>
      </c>
      <c r="X148">
        <v>75</v>
      </c>
      <c r="Z148">
        <v>19.8</v>
      </c>
      <c r="AA148">
        <v>19.8</v>
      </c>
      <c r="AC148">
        <v>3.58</v>
      </c>
      <c r="AD148" s="11">
        <v>78</v>
      </c>
      <c r="AE148" t="str">
        <f>CONCATENATE(VLOOKUP(AF148, 'Voxel Sizes'!$A$2:$B$18,2,FALSE),"x",INT(AB148*15), "x", INT(AC148*15))</f>
        <v>198x0x53</v>
      </c>
      <c r="AF148">
        <f t="shared" si="7"/>
        <v>12</v>
      </c>
      <c r="AH148" t="str">
        <f>CONCATENATE(VLOOKUP(AF148,'Articulated Lengths'!$A$2:$C$16,IF(AG148&lt;&gt;"", 3, 2), FALSE),IF(AG148&lt;&gt;"",CONCATENATE(",",VLOOKUP(AG148,$B$2:$AH$219,33,FALSE)),""))</f>
        <v>3,3,6</v>
      </c>
      <c r="AJ148" t="s">
        <v>635</v>
      </c>
      <c r="AL148" t="s">
        <v>633</v>
      </c>
      <c r="AO148">
        <v>10</v>
      </c>
      <c r="AP148">
        <v>10</v>
      </c>
      <c r="AT148" t="s">
        <v>344</v>
      </c>
      <c r="AU148" t="str">
        <f>VLOOKUP(F148,Eras!$A$2:$C$10, 2, TRUE)</f>
        <v>lbr</v>
      </c>
      <c r="AV148" t="s">
        <v>395</v>
      </c>
      <c r="AW148" t="str">
        <f t="shared" si="8"/>
        <v>lbr_EMU</v>
      </c>
      <c r="AX148" t="s">
        <v>634</v>
      </c>
    </row>
    <row r="149" spans="1:50" x14ac:dyDescent="0.25">
      <c r="A149" t="s">
        <v>95</v>
      </c>
      <c r="B149" t="s">
        <v>230</v>
      </c>
      <c r="C149" t="s">
        <v>475</v>
      </c>
      <c r="D149" t="s">
        <v>357</v>
      </c>
      <c r="E149" t="s">
        <v>365</v>
      </c>
      <c r="F149">
        <v>1982</v>
      </c>
      <c r="I149">
        <v>4</v>
      </c>
      <c r="J149">
        <v>992</v>
      </c>
      <c r="S149">
        <v>136</v>
      </c>
      <c r="V149">
        <v>150</v>
      </c>
      <c r="W149" s="4">
        <f t="shared" si="6"/>
        <v>0.11029411764705882</v>
      </c>
      <c r="X149">
        <v>75</v>
      </c>
      <c r="Z149">
        <v>19.8</v>
      </c>
      <c r="AA149">
        <v>19.8</v>
      </c>
      <c r="AD149" s="11">
        <v>78</v>
      </c>
      <c r="AE149" t="str">
        <f>CONCATENATE(VLOOKUP(AF149, 'Voxel Sizes'!$A$2:$B$18,2,FALSE),"x",INT(AB149*15), "x", INT(AC149*15))</f>
        <v>198x0x0</v>
      </c>
      <c r="AF149">
        <f t="shared" si="7"/>
        <v>12</v>
      </c>
      <c r="AH149" t="str">
        <f>CONCATENATE(VLOOKUP(AF149,'Articulated Lengths'!$A$2:$C$16,IF(AG149&lt;&gt;"", 3, 2), FALSE),IF(AG149&lt;&gt;"",CONCATENATE(",",VLOOKUP(AG149,$B$2:$AH$219,33,FALSE)),""))</f>
        <v>3,3,6</v>
      </c>
      <c r="AJ149" t="s">
        <v>696</v>
      </c>
      <c r="AL149" t="s">
        <v>538</v>
      </c>
      <c r="AO149">
        <v>10</v>
      </c>
      <c r="AP149">
        <v>10</v>
      </c>
      <c r="AT149" t="s">
        <v>344</v>
      </c>
      <c r="AU149" t="str">
        <f>VLOOKUP(F149,Eras!$A$2:$C$10, 2, TRUE)</f>
        <v>lbr</v>
      </c>
      <c r="AV149" t="s">
        <v>395</v>
      </c>
      <c r="AW149" t="str">
        <f t="shared" si="8"/>
        <v>lbr_EMU</v>
      </c>
      <c r="AX149" t="s">
        <v>697</v>
      </c>
    </row>
    <row r="150" spans="1:50" x14ac:dyDescent="0.25">
      <c r="A150" t="s">
        <v>55</v>
      </c>
      <c r="B150" t="s">
        <v>637</v>
      </c>
      <c r="C150" t="s">
        <v>323</v>
      </c>
      <c r="D150" t="s">
        <v>333</v>
      </c>
      <c r="E150" t="s">
        <v>335</v>
      </c>
      <c r="F150">
        <v>1983</v>
      </c>
      <c r="G150">
        <v>1987</v>
      </c>
      <c r="J150">
        <v>3300</v>
      </c>
      <c r="S150">
        <v>130</v>
      </c>
      <c r="V150">
        <v>267</v>
      </c>
      <c r="W150" s="4">
        <f t="shared" si="6"/>
        <v>0.20538461538461539</v>
      </c>
      <c r="X150">
        <v>80</v>
      </c>
      <c r="Z150">
        <v>19.13</v>
      </c>
      <c r="AA150">
        <v>19.13</v>
      </c>
      <c r="AC150">
        <v>3.91</v>
      </c>
      <c r="AE150" t="str">
        <f>CONCATENATE(VLOOKUP(AF150, 'Voxel Sizes'!$A$2:$B$18,2,FALSE),"x",INT(AB150*15), "x", INT(AC150*15))</f>
        <v>186x0x58</v>
      </c>
      <c r="AF150">
        <f t="shared" si="7"/>
        <v>11</v>
      </c>
      <c r="AH150" t="str">
        <f>CONCATENATE(VLOOKUP(AF150,'Articulated Lengths'!$A$2:$C$16,IF(AG150&lt;&gt;"", 3, 2), FALSE),IF(AG150&lt;&gt;"",CONCATENATE(",",VLOOKUP(AG150,$B$2:$AH$219,33,FALSE)),""))</f>
        <v>3,3,5</v>
      </c>
      <c r="AO150">
        <v>10</v>
      </c>
      <c r="AP150">
        <v>10</v>
      </c>
      <c r="AU150" t="str">
        <f>VLOOKUP(F150,Eras!$A$2:$C$10, 2, TRUE)</f>
        <v>lbr</v>
      </c>
      <c r="AV150" t="s">
        <v>391</v>
      </c>
      <c r="AW150" t="str">
        <f t="shared" si="8"/>
        <v>lbr_Freight</v>
      </c>
      <c r="AX150" t="s">
        <v>636</v>
      </c>
    </row>
    <row r="151" spans="1:50" x14ac:dyDescent="0.25">
      <c r="A151" t="s">
        <v>121</v>
      </c>
      <c r="B151" t="s">
        <v>245</v>
      </c>
      <c r="C151" t="s">
        <v>181</v>
      </c>
      <c r="E151" t="s">
        <v>335</v>
      </c>
      <c r="F151">
        <v>1983</v>
      </c>
      <c r="W151" s="4" t="str">
        <f t="shared" si="6"/>
        <v/>
      </c>
      <c r="AE151" t="str">
        <f>CONCATENATE(VLOOKUP(AF151, 'Voxel Sizes'!$A$2:$B$18,2,FALSE),"x",INT(AB151*15), "x", INT(AC151*15))</f>
        <v>0x0x0</v>
      </c>
      <c r="AF151">
        <f t="shared" si="7"/>
        <v>0</v>
      </c>
      <c r="AH151" t="str">
        <f>CONCATENATE(VLOOKUP(AF151,'Articulated Lengths'!$A$2:$C$16,IF(AG151&lt;&gt;"", 3, 2), FALSE),IF(AG151&lt;&gt;"",CONCATENATE(",",VLOOKUP(AG151,$B$2:$AH$219,33,FALSE)),""))</f>
        <v>na</v>
      </c>
      <c r="AO151">
        <v>10</v>
      </c>
      <c r="AP151">
        <v>10</v>
      </c>
      <c r="AU151" t="str">
        <f>VLOOKUP(F151,Eras!$A$2:$C$10, 2, TRUE)</f>
        <v>lbr</v>
      </c>
      <c r="AV151" t="s">
        <v>407</v>
      </c>
      <c r="AW151" t="str">
        <f t="shared" si="8"/>
        <v>lbr_LU</v>
      </c>
    </row>
    <row r="152" spans="1:50" x14ac:dyDescent="0.25">
      <c r="A152" t="s">
        <v>99</v>
      </c>
      <c r="B152" t="s">
        <v>718</v>
      </c>
      <c r="C152" t="s">
        <v>475</v>
      </c>
      <c r="D152" t="s">
        <v>333</v>
      </c>
      <c r="E152" t="s">
        <v>335</v>
      </c>
      <c r="F152">
        <v>1984</v>
      </c>
      <c r="G152">
        <v>1987</v>
      </c>
      <c r="I152">
        <v>2</v>
      </c>
      <c r="J152">
        <f>286*2</f>
        <v>572</v>
      </c>
      <c r="S152">
        <f>35.8*2</f>
        <v>71.599999999999994</v>
      </c>
      <c r="V152">
        <v>110</v>
      </c>
      <c r="W152" s="4">
        <f t="shared" si="6"/>
        <v>0.15363128491620112</v>
      </c>
      <c r="X152">
        <v>75</v>
      </c>
      <c r="Z152">
        <v>20</v>
      </c>
      <c r="AA152">
        <v>20</v>
      </c>
      <c r="AB152">
        <v>2.81</v>
      </c>
      <c r="AC152">
        <v>3.7</v>
      </c>
      <c r="AD152" s="11">
        <v>63</v>
      </c>
      <c r="AE152" t="str">
        <f>CONCATENATE(VLOOKUP(AF152, 'Voxel Sizes'!$A$2:$B$18,2,FALSE),"x",INT(AB152*15), "x", INT(AC152*15))</f>
        <v>198x42x55</v>
      </c>
      <c r="AF152">
        <f t="shared" si="7"/>
        <v>12</v>
      </c>
      <c r="AH152" t="str">
        <f>CONCATENATE(VLOOKUP(AF152,'Articulated Lengths'!$A$2:$C$16,IF(AG152&lt;&gt;"", 3, 2), FALSE),IF(AG152&lt;&gt;"",CONCATENATE(",",VLOOKUP(AG152,$B$2:$AH$219,33,FALSE)),""))</f>
        <v>3,3,6</v>
      </c>
      <c r="AJ152" t="s">
        <v>717</v>
      </c>
      <c r="AL152" t="s">
        <v>540</v>
      </c>
      <c r="AO152">
        <v>10</v>
      </c>
      <c r="AP152">
        <v>10</v>
      </c>
      <c r="AT152" t="s">
        <v>344</v>
      </c>
      <c r="AU152" t="str">
        <f>VLOOKUP(F152,Eras!$A$2:$C$10, 2, TRUE)</f>
        <v>lbr</v>
      </c>
      <c r="AV152" t="s">
        <v>393</v>
      </c>
      <c r="AW152" t="str">
        <f t="shared" si="8"/>
        <v>lbr_DMU</v>
      </c>
      <c r="AX152" t="s">
        <v>716</v>
      </c>
    </row>
    <row r="153" spans="1:50" x14ac:dyDescent="0.25">
      <c r="A153" t="s">
        <v>733</v>
      </c>
      <c r="B153" t="s">
        <v>285</v>
      </c>
      <c r="C153" t="s">
        <v>475</v>
      </c>
      <c r="D153" t="s">
        <v>333</v>
      </c>
      <c r="E153" t="s">
        <v>335</v>
      </c>
      <c r="F153">
        <v>1984</v>
      </c>
      <c r="G153">
        <v>1988</v>
      </c>
      <c r="H153">
        <v>2005</v>
      </c>
      <c r="I153">
        <v>2</v>
      </c>
      <c r="J153">
        <v>205</v>
      </c>
      <c r="S153">
        <f>26+26.5</f>
        <v>52.5</v>
      </c>
      <c r="V153">
        <v>70</v>
      </c>
      <c r="W153" s="4">
        <f t="shared" si="6"/>
        <v>0.13333333333333333</v>
      </c>
      <c r="X153">
        <v>75</v>
      </c>
      <c r="Z153">
        <v>15.45</v>
      </c>
      <c r="AA153">
        <v>15.45</v>
      </c>
      <c r="AB153">
        <v>2.5</v>
      </c>
      <c r="AC153">
        <v>3.9</v>
      </c>
      <c r="AD153" s="11">
        <v>46</v>
      </c>
      <c r="AE153" t="str">
        <f>CONCATENATE(VLOOKUP(AF153, 'Voxel Sizes'!$A$2:$B$18,2,FALSE),"x",INT(AB153*15), "x", INT(AC153*15))</f>
        <v>152x37x58</v>
      </c>
      <c r="AF153">
        <f t="shared" si="7"/>
        <v>9</v>
      </c>
      <c r="AH153" t="str">
        <f>CONCATENATE(VLOOKUP(AF153,'Articulated Lengths'!$A$2:$C$16,IF(AG153&lt;&gt;"", 3, 2), FALSE),IF(AG153&lt;&gt;"",CONCATENATE(",",VLOOKUP(AG153,$B$2:$AH$219,33,FALSE)),""))</f>
        <v>2,2,5</v>
      </c>
      <c r="AJ153" t="s">
        <v>728</v>
      </c>
      <c r="AL153" t="s">
        <v>540</v>
      </c>
      <c r="AO153">
        <v>10</v>
      </c>
      <c r="AP153">
        <v>10</v>
      </c>
      <c r="AT153" t="s">
        <v>344</v>
      </c>
      <c r="AU153" t="str">
        <f>VLOOKUP(F153,Eras!$A$2:$C$10, 2, TRUE)</f>
        <v>lbr</v>
      </c>
      <c r="AV153" t="s">
        <v>392</v>
      </c>
      <c r="AW153" t="str">
        <f t="shared" si="8"/>
        <v>lbr_DMU (Cheap)</v>
      </c>
      <c r="AX153" t="s">
        <v>734</v>
      </c>
    </row>
    <row r="154" spans="1:50" x14ac:dyDescent="0.25">
      <c r="A154" t="s">
        <v>44</v>
      </c>
      <c r="B154" t="s">
        <v>219</v>
      </c>
      <c r="C154" t="s">
        <v>323</v>
      </c>
      <c r="D154" t="s">
        <v>333</v>
      </c>
      <c r="E154" t="s">
        <v>335</v>
      </c>
      <c r="F154">
        <v>1985</v>
      </c>
      <c r="G154">
        <v>1995</v>
      </c>
      <c r="J154">
        <v>3300</v>
      </c>
      <c r="S154">
        <v>126</v>
      </c>
      <c r="V154">
        <v>290</v>
      </c>
      <c r="W154" s="4">
        <f t="shared" si="6"/>
        <v>0.23015873015873015</v>
      </c>
      <c r="X154">
        <v>75</v>
      </c>
      <c r="Z154">
        <v>21.4</v>
      </c>
      <c r="AA154">
        <v>21.4</v>
      </c>
      <c r="AC154">
        <v>3.91</v>
      </c>
      <c r="AE154" t="str">
        <f>CONCATENATE(VLOOKUP(AF154, 'Voxel Sizes'!$A$2:$B$18,2,FALSE),"x",INT(AB154*15), "x", INT(AC154*15))</f>
        <v>214x0x58</v>
      </c>
      <c r="AF154">
        <f t="shared" si="7"/>
        <v>13</v>
      </c>
      <c r="AH154" t="str">
        <f>CONCATENATE(VLOOKUP(AF154,'Articulated Lengths'!$A$2:$C$16,IF(AG154&lt;&gt;"", 3, 2), FALSE),IF(AG154&lt;&gt;"",CONCATENATE(",",VLOOKUP(AG154,$B$2:$AH$219,33,FALSE)),""))</f>
        <v>4,4,5</v>
      </c>
      <c r="AO154">
        <v>10</v>
      </c>
      <c r="AP154">
        <v>10</v>
      </c>
      <c r="AU154" t="str">
        <f>VLOOKUP(F154,Eras!$A$2:$C$10, 2, TRUE)</f>
        <v>lbr</v>
      </c>
      <c r="AV154" t="s">
        <v>391</v>
      </c>
      <c r="AW154" t="str">
        <f t="shared" si="8"/>
        <v>lbr_Freight</v>
      </c>
      <c r="AX154" t="s">
        <v>638</v>
      </c>
    </row>
    <row r="155" spans="1:50" x14ac:dyDescent="0.25">
      <c r="A155" t="s">
        <v>76</v>
      </c>
      <c r="B155" t="s">
        <v>220</v>
      </c>
      <c r="C155" t="s">
        <v>323</v>
      </c>
      <c r="D155" t="s">
        <v>357</v>
      </c>
      <c r="E155" t="s">
        <v>335</v>
      </c>
      <c r="F155">
        <v>1987</v>
      </c>
      <c r="G155">
        <v>1990</v>
      </c>
      <c r="J155">
        <v>5000</v>
      </c>
      <c r="S155">
        <v>84.5</v>
      </c>
      <c r="V155">
        <v>258</v>
      </c>
      <c r="W155" s="4">
        <f t="shared" si="6"/>
        <v>0.30532544378698223</v>
      </c>
      <c r="X155">
        <v>110</v>
      </c>
      <c r="Z155">
        <v>18.75</v>
      </c>
      <c r="AA155">
        <v>18.75</v>
      </c>
      <c r="AC155">
        <v>3.96</v>
      </c>
      <c r="AE155" t="str">
        <f>CONCATENATE(VLOOKUP(AF155, 'Voxel Sizes'!$A$2:$B$18,2,FALSE),"x",INT(AB155*15), "x", INT(AC155*15))</f>
        <v>186x0x59</v>
      </c>
      <c r="AF155">
        <f t="shared" si="7"/>
        <v>11</v>
      </c>
      <c r="AH155" t="str">
        <f>CONCATENATE(VLOOKUP(AF155,'Articulated Lengths'!$A$2:$C$16,IF(AG155&lt;&gt;"", 3, 2), FALSE),IF(AG155&lt;&gt;"",CONCATENATE(",",VLOOKUP(AG155,$B$2:$AH$219,33,FALSE)),""))</f>
        <v>3,3,5</v>
      </c>
      <c r="AO155">
        <v>10</v>
      </c>
      <c r="AP155">
        <v>10</v>
      </c>
      <c r="AU155" t="str">
        <f>VLOOKUP(F155,Eras!$A$2:$C$10, 2, TRUE)</f>
        <v>lbr</v>
      </c>
      <c r="AV155" t="s">
        <v>390</v>
      </c>
      <c r="AW155" t="str">
        <f t="shared" si="8"/>
        <v>lbr_Express</v>
      </c>
      <c r="AX155" t="s">
        <v>641</v>
      </c>
    </row>
    <row r="156" spans="1:50" x14ac:dyDescent="0.25">
      <c r="A156" t="s">
        <v>88</v>
      </c>
      <c r="B156" t="s">
        <v>227</v>
      </c>
      <c r="C156" t="s">
        <v>475</v>
      </c>
      <c r="D156" t="s">
        <v>630</v>
      </c>
      <c r="E156" t="s">
        <v>629</v>
      </c>
      <c r="F156">
        <v>1987</v>
      </c>
      <c r="G156">
        <v>1990</v>
      </c>
      <c r="I156">
        <v>4</v>
      </c>
      <c r="J156">
        <f>4*332</f>
        <v>1328</v>
      </c>
      <c r="S156">
        <v>140.30000000000001</v>
      </c>
      <c r="V156">
        <v>160</v>
      </c>
      <c r="W156" s="4">
        <f t="shared" si="6"/>
        <v>0.11404133998574484</v>
      </c>
      <c r="X156">
        <v>100</v>
      </c>
      <c r="Z156">
        <v>19.829999999999998</v>
      </c>
      <c r="AA156">
        <v>19.829999999999998</v>
      </c>
      <c r="AC156">
        <v>3.58</v>
      </c>
      <c r="AD156" s="11">
        <v>78</v>
      </c>
      <c r="AE156" t="str">
        <f>CONCATENATE(VLOOKUP(AF156, 'Voxel Sizes'!$A$2:$B$18,2,FALSE),"x",INT(AB156*15), "x", INT(AC156*15))</f>
        <v>198x0x53</v>
      </c>
      <c r="AF156">
        <f t="shared" si="7"/>
        <v>12</v>
      </c>
      <c r="AH156" t="str">
        <f>CONCATENATE(VLOOKUP(AF156,'Articulated Lengths'!$A$2:$C$16,IF(AG156&lt;&gt;"", 3, 2), FALSE),IF(AG156&lt;&gt;"",CONCATENATE(",",VLOOKUP(AG156,$B$2:$AH$219,33,FALSE)),""))</f>
        <v>3,3,6</v>
      </c>
      <c r="AJ156" t="s">
        <v>643</v>
      </c>
      <c r="AK156" t="s">
        <v>644</v>
      </c>
      <c r="AL156" t="s">
        <v>633</v>
      </c>
      <c r="AO156">
        <v>10</v>
      </c>
      <c r="AP156">
        <v>10</v>
      </c>
      <c r="AT156" t="s">
        <v>344</v>
      </c>
      <c r="AU156" t="str">
        <f>VLOOKUP(F156,Eras!$A$2:$C$10, 2, TRUE)</f>
        <v>lbr</v>
      </c>
      <c r="AV156" t="s">
        <v>395</v>
      </c>
      <c r="AW156" t="str">
        <f t="shared" si="8"/>
        <v>lbr_EMU</v>
      </c>
      <c r="AX156" t="s">
        <v>642</v>
      </c>
    </row>
    <row r="157" spans="1:50" x14ac:dyDescent="0.25">
      <c r="A157" t="s">
        <v>134</v>
      </c>
      <c r="B157" t="s">
        <v>321</v>
      </c>
      <c r="C157" t="s">
        <v>342</v>
      </c>
      <c r="E157" t="s">
        <v>335</v>
      </c>
      <c r="F157">
        <v>1988</v>
      </c>
      <c r="S157">
        <v>40</v>
      </c>
      <c r="U157">
        <v>9</v>
      </c>
      <c r="W157" s="4" t="str">
        <f t="shared" si="6"/>
        <v/>
      </c>
      <c r="X157">
        <v>140</v>
      </c>
      <c r="Z157">
        <v>23</v>
      </c>
      <c r="AA157">
        <v>23</v>
      </c>
      <c r="AB157">
        <v>2.82</v>
      </c>
      <c r="AC157">
        <v>3.79</v>
      </c>
      <c r="AD157" s="11">
        <v>72</v>
      </c>
      <c r="AE157" t="str">
        <f>CONCATENATE(VLOOKUP(AF157, 'Voxel Sizes'!$A$2:$B$18,2,FALSE),"x",INT(AB157*15), "x", INT(AC157*15))</f>
        <v>214x42x56</v>
      </c>
      <c r="AF157">
        <f t="shared" si="7"/>
        <v>13</v>
      </c>
      <c r="AH157" t="str">
        <f>CONCATENATE(VLOOKUP(AF157,'Articulated Lengths'!$A$2:$C$16,IF(AG157&lt;&gt;"", 3, 2), FALSE),IF(AG157&lt;&gt;"",CONCATENATE(",",VLOOKUP(AG157,$B$2:$AH$219,33,FALSE)),""))</f>
        <v>4,4,5</v>
      </c>
      <c r="AO157">
        <v>10</v>
      </c>
      <c r="AP157">
        <v>10</v>
      </c>
      <c r="AT157" t="s">
        <v>344</v>
      </c>
      <c r="AU157" t="str">
        <f>VLOOKUP(F157,Eras!$A$2:$C$10, 2, TRUE)</f>
        <v>lbr</v>
      </c>
      <c r="AV157" t="s">
        <v>397</v>
      </c>
      <c r="AW157" t="str">
        <f t="shared" si="8"/>
        <v>lbr_Carriage</v>
      </c>
      <c r="AX157" t="s">
        <v>651</v>
      </c>
    </row>
    <row r="158" spans="1:50" x14ac:dyDescent="0.25">
      <c r="A158" t="s">
        <v>647</v>
      </c>
      <c r="B158" t="s">
        <v>295</v>
      </c>
      <c r="C158" t="s">
        <v>323</v>
      </c>
      <c r="D158" t="s">
        <v>357</v>
      </c>
      <c r="E158" t="s">
        <v>358</v>
      </c>
      <c r="F158">
        <v>1988</v>
      </c>
      <c r="G158">
        <v>1991</v>
      </c>
      <c r="J158">
        <v>6480</v>
      </c>
      <c r="S158">
        <v>81.5</v>
      </c>
      <c r="V158">
        <v>190</v>
      </c>
      <c r="W158" s="4">
        <f t="shared" si="6"/>
        <v>0.23312883435582821</v>
      </c>
      <c r="X158">
        <v>140</v>
      </c>
      <c r="Z158">
        <v>19.399999999999999</v>
      </c>
      <c r="AA158">
        <v>19.399999999999999</v>
      </c>
      <c r="AE158" t="str">
        <f>CONCATENATE(VLOOKUP(AF158, 'Voxel Sizes'!$A$2:$B$18,2,FALSE),"x",INT(AB158*15), "x", INT(AC158*15))</f>
        <v>186x0x0</v>
      </c>
      <c r="AF158">
        <f t="shared" si="7"/>
        <v>11</v>
      </c>
      <c r="AH158" t="str">
        <f>CONCATENATE(VLOOKUP(AF158,'Articulated Lengths'!$A$2:$C$16,IF(AG158&lt;&gt;"", 3, 2), FALSE),IF(AG158&lt;&gt;"",CONCATENATE(",",VLOOKUP(AG158,$B$2:$AH$219,33,FALSE)),""))</f>
        <v>3,3,5</v>
      </c>
      <c r="AO158">
        <v>10</v>
      </c>
      <c r="AP158">
        <v>10</v>
      </c>
      <c r="AU158" t="str">
        <f>VLOOKUP(F158,Eras!$A$2:$C$10, 2, TRUE)</f>
        <v>lbr</v>
      </c>
      <c r="AV158" t="s">
        <v>400</v>
      </c>
      <c r="AW158" t="str">
        <f t="shared" si="8"/>
        <v>lbr_Express (Electric)</v>
      </c>
      <c r="AX158" t="s">
        <v>646</v>
      </c>
    </row>
    <row r="159" spans="1:50" x14ac:dyDescent="0.25">
      <c r="A159" t="s">
        <v>648</v>
      </c>
      <c r="B159" t="s">
        <v>650</v>
      </c>
      <c r="C159" t="s">
        <v>323</v>
      </c>
      <c r="D159" t="s">
        <v>357</v>
      </c>
      <c r="E159" t="s">
        <v>358</v>
      </c>
      <c r="F159">
        <v>1988</v>
      </c>
      <c r="G159">
        <v>1991</v>
      </c>
      <c r="J159">
        <v>5</v>
      </c>
      <c r="S159">
        <v>40</v>
      </c>
      <c r="V159">
        <v>5</v>
      </c>
      <c r="W159" s="4">
        <f t="shared" si="6"/>
        <v>1.2500000000000001E-2</v>
      </c>
      <c r="X159">
        <v>140</v>
      </c>
      <c r="Z159">
        <v>19.399999999999999</v>
      </c>
      <c r="AA159">
        <v>19.399999999999999</v>
      </c>
      <c r="AE159" t="str">
        <f>CONCATENATE(VLOOKUP(AF159, 'Voxel Sizes'!$A$2:$B$18,2,FALSE),"x",INT(AB159*15), "x", INT(AC159*15))</f>
        <v>186x0x0</v>
      </c>
      <c r="AF159">
        <f t="shared" si="7"/>
        <v>11</v>
      </c>
      <c r="AH159" t="str">
        <f>CONCATENATE(VLOOKUP(AF159,'Articulated Lengths'!$A$2:$C$16,IF(AG159&lt;&gt;"", 3, 2), FALSE),IF(AG159&lt;&gt;"",CONCATENATE(",",VLOOKUP(AG159,$B$2:$AH$219,33,FALSE)),""))</f>
        <v>3,3,5</v>
      </c>
      <c r="AO159">
        <v>10</v>
      </c>
      <c r="AP159">
        <v>10</v>
      </c>
      <c r="AQ159">
        <v>1</v>
      </c>
      <c r="AR159">
        <v>1</v>
      </c>
      <c r="AU159" t="str">
        <f>VLOOKUP(F159,Eras!$A$2:$C$10, 2, TRUE)</f>
        <v>lbr</v>
      </c>
      <c r="AV159" t="s">
        <v>400</v>
      </c>
      <c r="AW159" t="str">
        <f t="shared" si="8"/>
        <v>lbr_Express (Electric)</v>
      </c>
      <c r="AX159" t="s">
        <v>649</v>
      </c>
    </row>
    <row r="160" spans="1:50" x14ac:dyDescent="0.25">
      <c r="A160" t="s">
        <v>719</v>
      </c>
      <c r="B160" t="s">
        <v>282</v>
      </c>
      <c r="C160" t="s">
        <v>475</v>
      </c>
      <c r="D160" t="s">
        <v>333</v>
      </c>
      <c r="E160" t="s">
        <v>335</v>
      </c>
      <c r="F160">
        <v>1988</v>
      </c>
      <c r="I160">
        <v>2</v>
      </c>
      <c r="J160">
        <f>285*2</f>
        <v>570</v>
      </c>
      <c r="S160">
        <f>35.5+36.1</f>
        <v>71.599999999999994</v>
      </c>
      <c r="V160">
        <v>110</v>
      </c>
      <c r="W160" s="4">
        <f t="shared" si="6"/>
        <v>0.15363128491620112</v>
      </c>
      <c r="X160">
        <v>75</v>
      </c>
      <c r="Z160">
        <v>23</v>
      </c>
      <c r="AA160">
        <v>23</v>
      </c>
      <c r="AB160">
        <v>2.8</v>
      </c>
      <c r="AC160">
        <v>3.7</v>
      </c>
      <c r="AD160" s="11">
        <v>69</v>
      </c>
      <c r="AE160" t="str">
        <f>CONCATENATE(VLOOKUP(AF160, 'Voxel Sizes'!$A$2:$B$18,2,FALSE),"x",INT(AB160*15), "x", INT(AC160*15))</f>
        <v>214x42x55</v>
      </c>
      <c r="AF160">
        <f t="shared" si="7"/>
        <v>13</v>
      </c>
      <c r="AH160" t="str">
        <f>CONCATENATE(VLOOKUP(AF160,'Articulated Lengths'!$A$2:$C$16,IF(AG160&lt;&gt;"", 3, 2), FALSE),IF(AG160&lt;&gt;"",CONCATENATE(",",VLOOKUP(AG160,$B$2:$AH$219,33,FALSE)),""))</f>
        <v>4,4,5</v>
      </c>
      <c r="AJ160" t="s">
        <v>721</v>
      </c>
      <c r="AL160" t="s">
        <v>540</v>
      </c>
      <c r="AO160">
        <v>10</v>
      </c>
      <c r="AP160">
        <v>10</v>
      </c>
      <c r="AT160" t="s">
        <v>344</v>
      </c>
      <c r="AU160" t="str">
        <f>VLOOKUP(F160,Eras!$A$2:$C$10, 2, TRUE)</f>
        <v>lbr</v>
      </c>
      <c r="AV160" t="s">
        <v>393</v>
      </c>
      <c r="AW160" t="str">
        <f t="shared" si="8"/>
        <v>lbr_DMU</v>
      </c>
      <c r="AX160" t="s">
        <v>720</v>
      </c>
    </row>
    <row r="161" spans="1:50" x14ac:dyDescent="0.25">
      <c r="A161" t="s">
        <v>106</v>
      </c>
      <c r="B161" t="s">
        <v>289</v>
      </c>
      <c r="C161" t="s">
        <v>475</v>
      </c>
      <c r="D161" t="s">
        <v>357</v>
      </c>
      <c r="E161" t="s">
        <v>365</v>
      </c>
      <c r="F161">
        <v>1988</v>
      </c>
      <c r="I161">
        <v>5</v>
      </c>
      <c r="J161">
        <v>1610</v>
      </c>
      <c r="S161">
        <v>202.8</v>
      </c>
      <c r="V161">
        <v>190</v>
      </c>
      <c r="W161" s="4">
        <f t="shared" si="6"/>
        <v>9.3688362919132157E-2</v>
      </c>
      <c r="X161">
        <v>108</v>
      </c>
      <c r="Z161">
        <v>23</v>
      </c>
      <c r="AA161">
        <v>23</v>
      </c>
      <c r="AB161">
        <v>2.74</v>
      </c>
      <c r="AC161">
        <v>3.81</v>
      </c>
      <c r="AD161" s="11">
        <v>66</v>
      </c>
      <c r="AE161" t="str">
        <f>CONCATENATE(VLOOKUP(AF161, 'Voxel Sizes'!$A$2:$B$18,2,FALSE),"x",INT(AB161*15), "x", INT(AC161*15))</f>
        <v>214x41x57</v>
      </c>
      <c r="AF161">
        <f t="shared" si="7"/>
        <v>13</v>
      </c>
      <c r="AH161" t="str">
        <f>CONCATENATE(VLOOKUP(AF161,'Articulated Lengths'!$A$2:$C$16,IF(AG161&lt;&gt;"", 3, 2), FALSE),IF(AG161&lt;&gt;"",CONCATENATE(",",VLOOKUP(AG161,$B$2:$AH$219,33,FALSE)),""))</f>
        <v>4,4,5</v>
      </c>
      <c r="AJ161" t="s">
        <v>757</v>
      </c>
      <c r="AL161" t="s">
        <v>695</v>
      </c>
      <c r="AO161">
        <v>10</v>
      </c>
      <c r="AP161">
        <v>10</v>
      </c>
      <c r="AT161" t="s">
        <v>344</v>
      </c>
      <c r="AU161" t="str">
        <f>VLOOKUP(F161,Eras!$A$2:$C$10, 2, TRUE)</f>
        <v>lbr</v>
      </c>
      <c r="AV161" t="s">
        <v>396</v>
      </c>
      <c r="AW161" t="str">
        <f t="shared" si="8"/>
        <v>lbr_EMU (Express)</v>
      </c>
      <c r="AX161" t="s">
        <v>758</v>
      </c>
    </row>
    <row r="162" spans="1:50" x14ac:dyDescent="0.25">
      <c r="A162" t="s">
        <v>700</v>
      </c>
      <c r="B162" t="s">
        <v>654</v>
      </c>
      <c r="C162" t="s">
        <v>323</v>
      </c>
      <c r="D162" t="s">
        <v>333</v>
      </c>
      <c r="E162" t="s">
        <v>335</v>
      </c>
      <c r="F162">
        <v>1989</v>
      </c>
      <c r="J162">
        <v>3100</v>
      </c>
      <c r="S162">
        <v>129</v>
      </c>
      <c r="V162">
        <v>474</v>
      </c>
      <c r="W162" s="4">
        <f t="shared" si="6"/>
        <v>0.36744186046511629</v>
      </c>
      <c r="X162">
        <v>60</v>
      </c>
      <c r="Z162">
        <v>21.34</v>
      </c>
      <c r="AA162">
        <v>21.34</v>
      </c>
      <c r="AB162">
        <v>2.64</v>
      </c>
      <c r="AC162">
        <v>3.95</v>
      </c>
      <c r="AE162" t="str">
        <f>CONCATENATE(VLOOKUP(AF162, 'Voxel Sizes'!$A$2:$B$18,2,FALSE),"x",INT(AB162*15), "x", INT(AC162*15))</f>
        <v>214x39x59</v>
      </c>
      <c r="AF162">
        <f t="shared" si="7"/>
        <v>13</v>
      </c>
      <c r="AH162" t="str">
        <f>CONCATENATE(VLOOKUP(AF162,'Articulated Lengths'!$A$2:$C$16,IF(AG162&lt;&gt;"", 3, 2), FALSE),IF(AG162&lt;&gt;"",CONCATENATE(",",VLOOKUP(AG162,$B$2:$AH$219,33,FALSE)),""))</f>
        <v>4,4,5</v>
      </c>
      <c r="AO162">
        <v>10</v>
      </c>
      <c r="AP162">
        <v>10</v>
      </c>
      <c r="AU162" t="str">
        <f>VLOOKUP(F162,Eras!$A$2:$C$10, 2, TRUE)</f>
        <v>lbr</v>
      </c>
      <c r="AV162" t="s">
        <v>391</v>
      </c>
      <c r="AW162" t="str">
        <f t="shared" si="8"/>
        <v>lbr_Freight</v>
      </c>
      <c r="AX162" t="s">
        <v>701</v>
      </c>
    </row>
    <row r="163" spans="1:50" x14ac:dyDescent="0.25">
      <c r="A163" t="s">
        <v>100</v>
      </c>
      <c r="B163" t="s">
        <v>283</v>
      </c>
      <c r="C163" t="s">
        <v>475</v>
      </c>
      <c r="D163" t="s">
        <v>333</v>
      </c>
      <c r="E163" t="s">
        <v>335</v>
      </c>
      <c r="F163">
        <v>1989</v>
      </c>
      <c r="G163">
        <v>1992</v>
      </c>
      <c r="I163">
        <v>3</v>
      </c>
      <c r="J163">
        <f>350*3</f>
        <v>1050</v>
      </c>
      <c r="S163">
        <f>37.8*3</f>
        <v>113.39999999999999</v>
      </c>
      <c r="V163">
        <v>120</v>
      </c>
      <c r="W163" s="4">
        <f t="shared" si="6"/>
        <v>0.10582010582010581</v>
      </c>
      <c r="X163">
        <v>90</v>
      </c>
      <c r="Z163">
        <v>23.2</v>
      </c>
      <c r="AA163">
        <v>23</v>
      </c>
      <c r="AB163">
        <v>2.7</v>
      </c>
      <c r="AD163" s="11">
        <v>69</v>
      </c>
      <c r="AE163" t="str">
        <f>CONCATENATE(VLOOKUP(AF163, 'Voxel Sizes'!$A$2:$B$18,2,FALSE),"x",INT(AB163*15), "x", INT(AC163*15))</f>
        <v>214x40x0</v>
      </c>
      <c r="AF163">
        <f t="shared" si="7"/>
        <v>13</v>
      </c>
      <c r="AH163" t="str">
        <f>CONCATENATE(VLOOKUP(AF163,'Articulated Lengths'!$A$2:$C$16,IF(AG163&lt;&gt;"", 3, 2), FALSE),IF(AG163&lt;&gt;"",CONCATENATE(",",VLOOKUP(AG163,$B$2:$AH$219,33,FALSE)),""))</f>
        <v>4,4,5</v>
      </c>
      <c r="AJ163" t="s">
        <v>722</v>
      </c>
      <c r="AL163" t="s">
        <v>353</v>
      </c>
      <c r="AO163">
        <v>10</v>
      </c>
      <c r="AP163">
        <v>10</v>
      </c>
      <c r="AT163" t="s">
        <v>344</v>
      </c>
      <c r="AU163" t="str">
        <f>VLOOKUP(F163,Eras!$A$2:$C$10, 2, TRUE)</f>
        <v>lbr</v>
      </c>
      <c r="AV163" t="s">
        <v>394</v>
      </c>
      <c r="AW163" t="str">
        <f t="shared" si="8"/>
        <v>lbr_DMU (Express)</v>
      </c>
      <c r="AX163" t="s">
        <v>723</v>
      </c>
    </row>
    <row r="164" spans="1:50" x14ac:dyDescent="0.25">
      <c r="A164" t="s">
        <v>96</v>
      </c>
      <c r="B164" t="s">
        <v>231</v>
      </c>
      <c r="C164" t="s">
        <v>475</v>
      </c>
      <c r="D164" t="s">
        <v>357</v>
      </c>
      <c r="E164" t="s">
        <v>365</v>
      </c>
      <c r="F164">
        <v>1990</v>
      </c>
      <c r="I164">
        <v>2</v>
      </c>
      <c r="J164">
        <v>500</v>
      </c>
      <c r="S164">
        <v>72.5</v>
      </c>
      <c r="V164">
        <v>120</v>
      </c>
      <c r="W164" s="4">
        <f t="shared" si="6"/>
        <v>0.16551724137931034</v>
      </c>
      <c r="X164">
        <v>75</v>
      </c>
      <c r="Z164">
        <v>19.8</v>
      </c>
      <c r="AA164">
        <v>19.8</v>
      </c>
      <c r="AD164" s="11">
        <v>75</v>
      </c>
      <c r="AE164" t="str">
        <f>CONCATENATE(VLOOKUP(AF164, 'Voxel Sizes'!$A$2:$B$18,2,FALSE),"x",INT(AB164*15), "x", INT(AC164*15))</f>
        <v>198x0x0</v>
      </c>
      <c r="AF164">
        <f t="shared" si="7"/>
        <v>12</v>
      </c>
      <c r="AH164" t="str">
        <f>CONCATENATE(VLOOKUP(AF164,'Articulated Lengths'!$A$2:$C$16,IF(AG164&lt;&gt;"", 3, 2), FALSE),IF(AG164&lt;&gt;"",CONCATENATE(",",VLOOKUP(AG164,$B$2:$AH$219,33,FALSE)),""))</f>
        <v>3,3,6</v>
      </c>
      <c r="AJ164" t="s">
        <v>698</v>
      </c>
      <c r="AL164" t="s">
        <v>540</v>
      </c>
      <c r="AO164">
        <v>10</v>
      </c>
      <c r="AP164">
        <v>10</v>
      </c>
      <c r="AT164" t="s">
        <v>344</v>
      </c>
      <c r="AU164" t="str">
        <f>VLOOKUP(F164,Eras!$A$2:$C$10, 2, TRUE)</f>
        <v>lbr</v>
      </c>
      <c r="AV164" t="s">
        <v>395</v>
      </c>
      <c r="AW164" t="str">
        <f t="shared" si="8"/>
        <v>lbr_EMU</v>
      </c>
      <c r="AX164" t="s">
        <v>699</v>
      </c>
    </row>
    <row r="165" spans="1:50" x14ac:dyDescent="0.25">
      <c r="A165" t="s">
        <v>101</v>
      </c>
      <c r="B165" t="s">
        <v>284</v>
      </c>
      <c r="C165" t="s">
        <v>475</v>
      </c>
      <c r="D165" t="s">
        <v>333</v>
      </c>
      <c r="E165" t="s">
        <v>335</v>
      </c>
      <c r="F165">
        <v>1991</v>
      </c>
      <c r="G165">
        <v>1992</v>
      </c>
      <c r="I165">
        <v>2</v>
      </c>
      <c r="J165">
        <f>350*2</f>
        <v>700</v>
      </c>
      <c r="S165">
        <v>74</v>
      </c>
      <c r="V165">
        <v>105</v>
      </c>
      <c r="W165" s="4">
        <f t="shared" si="6"/>
        <v>0.14189189189189189</v>
      </c>
      <c r="X165">
        <v>75</v>
      </c>
      <c r="Z165">
        <v>22.91</v>
      </c>
      <c r="AA165">
        <v>22.9</v>
      </c>
      <c r="AB165">
        <v>2.8</v>
      </c>
      <c r="AC165">
        <v>3.8</v>
      </c>
      <c r="AD165" s="11">
        <v>93</v>
      </c>
      <c r="AE165" t="str">
        <f>CONCATENATE(VLOOKUP(AF165, 'Voxel Sizes'!$A$2:$B$18,2,FALSE),"x",INT(AB165*15), "x", INT(AC165*15))</f>
        <v>214x42x57</v>
      </c>
      <c r="AF165">
        <f t="shared" si="7"/>
        <v>13</v>
      </c>
      <c r="AH165" t="str">
        <f>CONCATENATE(VLOOKUP(AF165,'Articulated Lengths'!$A$2:$C$16,IF(AG165&lt;&gt;"", 3, 2), FALSE),IF(AG165&lt;&gt;"",CONCATENATE(",",VLOOKUP(AG165,$B$2:$AH$219,33,FALSE)),""))</f>
        <v>4,4,5</v>
      </c>
      <c r="AJ165" t="s">
        <v>726</v>
      </c>
      <c r="AL165" t="s">
        <v>540</v>
      </c>
      <c r="AO165">
        <v>10</v>
      </c>
      <c r="AP165">
        <v>10</v>
      </c>
      <c r="AT165" t="s">
        <v>344</v>
      </c>
      <c r="AU165" t="str">
        <f>VLOOKUP(F165,Eras!$A$2:$C$10, 2, TRUE)</f>
        <v>lbr</v>
      </c>
      <c r="AV165" t="s">
        <v>393</v>
      </c>
      <c r="AW165" t="str">
        <f t="shared" si="8"/>
        <v>lbr_DMU</v>
      </c>
      <c r="AX165" t="s">
        <v>727</v>
      </c>
    </row>
    <row r="166" spans="1:50" x14ac:dyDescent="0.25">
      <c r="A166" t="s">
        <v>86</v>
      </c>
      <c r="B166" t="s">
        <v>302</v>
      </c>
      <c r="C166" t="s">
        <v>475</v>
      </c>
      <c r="D166" t="s">
        <v>357</v>
      </c>
      <c r="E166" t="s">
        <v>365</v>
      </c>
      <c r="F166">
        <v>1992</v>
      </c>
      <c r="G166">
        <v>1994</v>
      </c>
      <c r="H166" t="s">
        <v>164</v>
      </c>
      <c r="I166">
        <v>4</v>
      </c>
      <c r="J166">
        <v>1608</v>
      </c>
      <c r="S166">
        <v>136</v>
      </c>
      <c r="V166">
        <v>165</v>
      </c>
      <c r="W166" s="4">
        <f t="shared" si="6"/>
        <v>0.12132352941176471</v>
      </c>
      <c r="X166">
        <v>75</v>
      </c>
      <c r="Z166">
        <v>20.89</v>
      </c>
      <c r="AA166">
        <v>20.89</v>
      </c>
      <c r="AC166">
        <v>3.77</v>
      </c>
      <c r="AD166" s="11">
        <v>81</v>
      </c>
      <c r="AE166" t="str">
        <f>CONCATENATE(VLOOKUP(AF166, 'Voxel Sizes'!$A$2:$B$18,2,FALSE),"x",INT(AB166*15), "x", INT(AC166*15))</f>
        <v>198x0x56</v>
      </c>
      <c r="AF166">
        <f t="shared" si="7"/>
        <v>12</v>
      </c>
      <c r="AH166" t="str">
        <f>CONCATENATE(VLOOKUP(AF166,'Articulated Lengths'!$A$2:$C$16,IF(AG166&lt;&gt;"", 3, 2), FALSE),IF(AG166&lt;&gt;"",CONCATENATE(",",VLOOKUP(AG166,$B$2:$AH$219,33,FALSE)),""))</f>
        <v>3,3,6</v>
      </c>
      <c r="AJ166" t="s">
        <v>652</v>
      </c>
      <c r="AL166" t="s">
        <v>538</v>
      </c>
      <c r="AO166">
        <v>10</v>
      </c>
      <c r="AP166">
        <v>10</v>
      </c>
      <c r="AT166" t="s">
        <v>344</v>
      </c>
      <c r="AU166" t="str">
        <f>VLOOKUP(F166,Eras!$A$2:$C$10, 2, TRUE)</f>
        <v>lbr</v>
      </c>
      <c r="AV166" t="s">
        <v>395</v>
      </c>
      <c r="AW166" t="str">
        <f t="shared" si="8"/>
        <v>lbr_EMU</v>
      </c>
      <c r="AX166" t="s">
        <v>653</v>
      </c>
    </row>
    <row r="167" spans="1:50" x14ac:dyDescent="0.25">
      <c r="A167" t="s">
        <v>122</v>
      </c>
      <c r="B167" t="s">
        <v>246</v>
      </c>
      <c r="C167" t="s">
        <v>181</v>
      </c>
      <c r="E167" t="s">
        <v>335</v>
      </c>
      <c r="F167">
        <v>1992</v>
      </c>
      <c r="W167" s="4" t="str">
        <f t="shared" si="6"/>
        <v/>
      </c>
      <c r="AE167" t="str">
        <f>CONCATENATE(VLOOKUP(AF167, 'Voxel Sizes'!$A$2:$B$18,2,FALSE),"x",INT(AB167*15), "x", INT(AC167*15))</f>
        <v>0x0x0</v>
      </c>
      <c r="AF167">
        <f t="shared" si="7"/>
        <v>0</v>
      </c>
      <c r="AH167" t="str">
        <f>CONCATENATE(VLOOKUP(AF167,'Articulated Lengths'!$A$2:$C$16,IF(AG167&lt;&gt;"", 3, 2), FALSE),IF(AG167&lt;&gt;"",CONCATENATE(",",VLOOKUP(AG167,$B$2:$AH$219,33,FALSE)),""))</f>
        <v>na</v>
      </c>
      <c r="AO167">
        <v>10</v>
      </c>
      <c r="AP167">
        <v>10</v>
      </c>
      <c r="AU167" t="str">
        <f>VLOOKUP(F167,Eras!$A$2:$C$10, 2, TRUE)</f>
        <v>lbr</v>
      </c>
      <c r="AV167" t="s">
        <v>407</v>
      </c>
      <c r="AW167" t="str">
        <f t="shared" si="8"/>
        <v>lbr_LU</v>
      </c>
    </row>
    <row r="168" spans="1:50" x14ac:dyDescent="0.25">
      <c r="A168" t="s">
        <v>685</v>
      </c>
      <c r="B168" t="s">
        <v>221</v>
      </c>
      <c r="C168" t="s">
        <v>323</v>
      </c>
      <c r="D168" t="s">
        <v>630</v>
      </c>
      <c r="E168" t="s">
        <v>629</v>
      </c>
      <c r="F168">
        <v>1993</v>
      </c>
      <c r="G168">
        <v>1996</v>
      </c>
      <c r="J168">
        <v>6760</v>
      </c>
      <c r="K168" s="9">
        <v>5360</v>
      </c>
      <c r="S168">
        <v>126</v>
      </c>
      <c r="V168">
        <v>360</v>
      </c>
      <c r="W168" s="4">
        <f t="shared" si="6"/>
        <v>0.2857142857142857</v>
      </c>
      <c r="X168">
        <v>87</v>
      </c>
      <c r="Z168">
        <v>21.36</v>
      </c>
      <c r="AA168">
        <v>21.36</v>
      </c>
      <c r="AE168" t="str">
        <f>CONCATENATE(VLOOKUP(AF168, 'Voxel Sizes'!$A$2:$B$18,2,FALSE),"x",INT(AB168*15), "x", INT(AC168*15))</f>
        <v>214x0x0</v>
      </c>
      <c r="AF168">
        <f t="shared" si="7"/>
        <v>13</v>
      </c>
      <c r="AH168" t="str">
        <f>CONCATENATE(VLOOKUP(AF168,'Articulated Lengths'!$A$2:$C$16,IF(AG168&lt;&gt;"", 3, 2), FALSE),IF(AG168&lt;&gt;"",CONCATENATE(",",VLOOKUP(AG168,$B$2:$AH$219,33,FALSE)),""))</f>
        <v>4,4,5</v>
      </c>
      <c r="AK168" t="s">
        <v>221</v>
      </c>
      <c r="AO168">
        <v>10</v>
      </c>
      <c r="AP168">
        <v>10</v>
      </c>
      <c r="AU168" t="str">
        <f>VLOOKUP(F168,Eras!$A$2:$C$10, 2, TRUE)</f>
        <v>lbr</v>
      </c>
      <c r="AV168" t="s">
        <v>391</v>
      </c>
      <c r="AW168" t="str">
        <f t="shared" si="8"/>
        <v>lbr_Freight</v>
      </c>
      <c r="AX168" t="s">
        <v>659</v>
      </c>
    </row>
    <row r="169" spans="1:50" x14ac:dyDescent="0.25">
      <c r="A169" t="s">
        <v>123</v>
      </c>
      <c r="B169" t="s">
        <v>287</v>
      </c>
      <c r="C169" t="s">
        <v>181</v>
      </c>
      <c r="E169" t="s">
        <v>335</v>
      </c>
      <c r="F169">
        <v>1995</v>
      </c>
      <c r="W169" s="4" t="str">
        <f t="shared" si="6"/>
        <v/>
      </c>
      <c r="AE169" t="str">
        <f>CONCATENATE(VLOOKUP(AF169, 'Voxel Sizes'!$A$2:$B$18,2,FALSE),"x",INT(AB169*15), "x", INT(AC169*15))</f>
        <v>0x0x0</v>
      </c>
      <c r="AF169">
        <f t="shared" si="7"/>
        <v>0</v>
      </c>
      <c r="AH169" t="str">
        <f>CONCATENATE(VLOOKUP(AF169,'Articulated Lengths'!$A$2:$C$16,IF(AG169&lt;&gt;"", 3, 2), FALSE),IF(AG169&lt;&gt;"",CONCATENATE(",",VLOOKUP(AG169,$B$2:$AH$219,33,FALSE)),""))</f>
        <v>na</v>
      </c>
      <c r="AO169">
        <v>10</v>
      </c>
      <c r="AP169">
        <v>10</v>
      </c>
      <c r="AU169" t="str">
        <f>VLOOKUP(F169,Eras!$A$2:$C$10, 2, TRUE)</f>
        <v>prv</v>
      </c>
      <c r="AV169" t="s">
        <v>407</v>
      </c>
      <c r="AW169" t="str">
        <f t="shared" si="8"/>
        <v>prv_LU</v>
      </c>
    </row>
    <row r="170" spans="1:50" x14ac:dyDescent="0.25">
      <c r="A170" t="s">
        <v>103</v>
      </c>
      <c r="B170" t="s">
        <v>233</v>
      </c>
      <c r="C170" t="s">
        <v>475</v>
      </c>
      <c r="D170" t="s">
        <v>630</v>
      </c>
      <c r="E170" t="s">
        <v>629</v>
      </c>
      <c r="F170">
        <v>1995</v>
      </c>
      <c r="I170">
        <v>4</v>
      </c>
      <c r="J170">
        <v>1328</v>
      </c>
      <c r="S170">
        <v>138.5</v>
      </c>
      <c r="V170">
        <v>160</v>
      </c>
      <c r="W170" s="4">
        <f t="shared" si="6"/>
        <v>0.11552346570397112</v>
      </c>
      <c r="X170">
        <v>100</v>
      </c>
      <c r="Z170">
        <v>19.829999999999998</v>
      </c>
      <c r="AA170">
        <v>19.8</v>
      </c>
      <c r="AB170">
        <v>2.8</v>
      </c>
      <c r="AC170">
        <v>3.8</v>
      </c>
      <c r="AD170" s="11">
        <v>78</v>
      </c>
      <c r="AE170" t="str">
        <f>CONCATENATE(VLOOKUP(AF170, 'Voxel Sizes'!$A$2:$B$18,2,FALSE),"x",INT(AB170*15), "x", INT(AC170*15))</f>
        <v>198x42x57</v>
      </c>
      <c r="AF170">
        <f t="shared" si="7"/>
        <v>12</v>
      </c>
      <c r="AH170" t="str">
        <f>CONCATENATE(VLOOKUP(AF170,'Articulated Lengths'!$A$2:$C$16,IF(AG170&lt;&gt;"", 3, 2), FALSE),IF(AG170&lt;&gt;"",CONCATENATE(",",VLOOKUP(AG170,$B$2:$AH$219,33,FALSE)),""))</f>
        <v>3,3,6</v>
      </c>
      <c r="AJ170" t="s">
        <v>742</v>
      </c>
      <c r="AK170" t="s">
        <v>745</v>
      </c>
      <c r="AL170" t="s">
        <v>633</v>
      </c>
      <c r="AO170">
        <v>10</v>
      </c>
      <c r="AP170">
        <v>10</v>
      </c>
      <c r="AT170" t="s">
        <v>743</v>
      </c>
      <c r="AU170" t="str">
        <f>VLOOKUP(F170,Eras!$A$2:$C$10, 2, TRUE)</f>
        <v>prv</v>
      </c>
      <c r="AV170" t="s">
        <v>394</v>
      </c>
      <c r="AW170" t="str">
        <f t="shared" si="8"/>
        <v>prv_DMU (Express)</v>
      </c>
      <c r="AX170" t="s">
        <v>744</v>
      </c>
    </row>
    <row r="171" spans="1:50" x14ac:dyDescent="0.25">
      <c r="A171" t="s">
        <v>56</v>
      </c>
      <c r="B171" t="s">
        <v>222</v>
      </c>
      <c r="C171" t="s">
        <v>323</v>
      </c>
      <c r="D171" t="s">
        <v>333</v>
      </c>
      <c r="E171" t="s">
        <v>335</v>
      </c>
      <c r="F171">
        <v>1998</v>
      </c>
      <c r="G171">
        <v>2015</v>
      </c>
      <c r="J171">
        <v>3300</v>
      </c>
      <c r="S171">
        <v>129.6</v>
      </c>
      <c r="V171">
        <v>260</v>
      </c>
      <c r="W171" s="4">
        <f t="shared" si="6"/>
        <v>0.20061728395061729</v>
      </c>
      <c r="X171">
        <v>75</v>
      </c>
      <c r="Z171">
        <v>21.4</v>
      </c>
      <c r="AA171">
        <v>21.4</v>
      </c>
      <c r="AC171">
        <v>3.9</v>
      </c>
      <c r="AE171" t="str">
        <f>CONCATENATE(VLOOKUP(AF171, 'Voxel Sizes'!$A$2:$B$18,2,FALSE),"x",INT(AB171*15), "x", INT(AC171*15))</f>
        <v>214x0x58</v>
      </c>
      <c r="AF171">
        <f t="shared" si="7"/>
        <v>13</v>
      </c>
      <c r="AH171" t="str">
        <f>CONCATENATE(VLOOKUP(AF171,'Articulated Lengths'!$A$2:$C$16,IF(AG171&lt;&gt;"", 3, 2), FALSE),IF(AG171&lt;&gt;"",CONCATENATE(",",VLOOKUP(AG171,$B$2:$AH$219,33,FALSE)),""))</f>
        <v>4,4,5</v>
      </c>
      <c r="AO171">
        <v>10</v>
      </c>
      <c r="AP171">
        <v>10</v>
      </c>
      <c r="AU171" t="str">
        <f>VLOOKUP(F171,Eras!$A$2:$C$10, 2, TRUE)</f>
        <v>prv</v>
      </c>
      <c r="AV171" t="s">
        <v>391</v>
      </c>
      <c r="AW171" t="str">
        <f t="shared" si="8"/>
        <v>prv_Freight</v>
      </c>
      <c r="AX171" t="s">
        <v>639</v>
      </c>
    </row>
    <row r="172" spans="1:50" x14ac:dyDescent="0.25">
      <c r="A172" t="s">
        <v>160</v>
      </c>
      <c r="B172" t="s">
        <v>294</v>
      </c>
      <c r="C172" t="s">
        <v>323</v>
      </c>
      <c r="D172" t="s">
        <v>333</v>
      </c>
      <c r="E172" t="s">
        <v>335</v>
      </c>
      <c r="F172">
        <v>1998</v>
      </c>
      <c r="G172">
        <v>2004</v>
      </c>
      <c r="J172">
        <v>3000</v>
      </c>
      <c r="S172">
        <v>120.6</v>
      </c>
      <c r="V172">
        <v>250</v>
      </c>
      <c r="W172" s="4">
        <f t="shared" si="6"/>
        <v>0.20729684908789386</v>
      </c>
      <c r="X172">
        <v>95</v>
      </c>
      <c r="Z172">
        <v>19.38</v>
      </c>
      <c r="AA172">
        <v>19.38</v>
      </c>
      <c r="AC172">
        <v>3.9</v>
      </c>
      <c r="AE172" t="str">
        <f>CONCATENATE(VLOOKUP(AF172, 'Voxel Sizes'!$A$2:$B$18,2,FALSE),"x",INT(AB172*15), "x", INT(AC172*15))</f>
        <v>186x0x58</v>
      </c>
      <c r="AF172">
        <f t="shared" si="7"/>
        <v>11</v>
      </c>
      <c r="AH172" t="str">
        <f>CONCATENATE(VLOOKUP(AF172,'Articulated Lengths'!$A$2:$C$16,IF(AG172&lt;&gt;"", 3, 2), FALSE),IF(AG172&lt;&gt;"",CONCATENATE(",",VLOOKUP(AG172,$B$2:$AH$219,33,FALSE)),""))</f>
        <v>3,3,5</v>
      </c>
      <c r="AO172">
        <v>10</v>
      </c>
      <c r="AP172">
        <v>10</v>
      </c>
      <c r="AU172" t="str">
        <f>VLOOKUP(F172,Eras!$A$2:$C$10, 2, TRUE)</f>
        <v>prv</v>
      </c>
      <c r="AV172" t="s">
        <v>391</v>
      </c>
      <c r="AW172" t="str">
        <f t="shared" si="8"/>
        <v>prv_Freight</v>
      </c>
      <c r="AX172" t="s">
        <v>640</v>
      </c>
    </row>
    <row r="173" spans="1:50" x14ac:dyDescent="0.25">
      <c r="A173" t="s">
        <v>91</v>
      </c>
      <c r="B173" t="s">
        <v>670</v>
      </c>
      <c r="C173" t="s">
        <v>475</v>
      </c>
      <c r="D173" t="s">
        <v>333</v>
      </c>
      <c r="E173" t="s">
        <v>335</v>
      </c>
      <c r="F173">
        <v>1998</v>
      </c>
      <c r="G173">
        <v>2005</v>
      </c>
      <c r="I173">
        <v>3</v>
      </c>
      <c r="J173">
        <v>1266</v>
      </c>
      <c r="S173">
        <v>135</v>
      </c>
      <c r="V173">
        <v>180</v>
      </c>
      <c r="W173" s="4">
        <f t="shared" si="6"/>
        <v>0.13333333333333333</v>
      </c>
      <c r="X173">
        <v>100</v>
      </c>
      <c r="Z173">
        <v>23.62</v>
      </c>
      <c r="AA173">
        <v>21</v>
      </c>
      <c r="AB173">
        <v>2.69</v>
      </c>
      <c r="AC173">
        <v>3.77</v>
      </c>
      <c r="AD173" s="11">
        <v>63</v>
      </c>
      <c r="AE173" t="str">
        <f>CONCATENATE(VLOOKUP(AF173, 'Voxel Sizes'!$A$2:$B$18,2,FALSE),"x",INT(AB173*15), "x", INT(AC173*15))</f>
        <v>198x40x56</v>
      </c>
      <c r="AF173">
        <f t="shared" si="7"/>
        <v>12</v>
      </c>
      <c r="AH173" t="str">
        <f>CONCATENATE(VLOOKUP(AF173,'Articulated Lengths'!$A$2:$C$16,IF(AG173&lt;&gt;"", 3, 2), FALSE),IF(AG173&lt;&gt;"",CONCATENATE(",",VLOOKUP(AG173,$B$2:$AH$219,33,FALSE)),""))</f>
        <v>3,3,6</v>
      </c>
      <c r="AJ173" t="s">
        <v>669</v>
      </c>
      <c r="AL173" t="s">
        <v>353</v>
      </c>
      <c r="AO173">
        <v>10</v>
      </c>
      <c r="AP173">
        <v>10</v>
      </c>
      <c r="AT173" t="s">
        <v>344</v>
      </c>
      <c r="AU173" t="str">
        <f>VLOOKUP(F173,Eras!$A$2:$C$10, 2, TRUE)</f>
        <v>prv</v>
      </c>
      <c r="AV173" t="s">
        <v>393</v>
      </c>
      <c r="AW173" t="str">
        <f t="shared" si="8"/>
        <v>prv_DMU</v>
      </c>
      <c r="AX173" t="s">
        <v>668</v>
      </c>
    </row>
    <row r="174" spans="1:50" x14ac:dyDescent="0.25">
      <c r="A174" t="s">
        <v>684</v>
      </c>
      <c r="B174" t="s">
        <v>658</v>
      </c>
      <c r="C174" t="s">
        <v>323</v>
      </c>
      <c r="D174" t="s">
        <v>333</v>
      </c>
      <c r="E174" t="s">
        <v>335</v>
      </c>
      <c r="F174">
        <v>1999</v>
      </c>
      <c r="G174">
        <v>2000</v>
      </c>
      <c r="J174">
        <v>3200</v>
      </c>
      <c r="S174">
        <v>88</v>
      </c>
      <c r="V174">
        <v>144</v>
      </c>
      <c r="W174" s="4">
        <f t="shared" si="6"/>
        <v>0.16363636363636364</v>
      </c>
      <c r="X174">
        <v>125</v>
      </c>
      <c r="Z174">
        <v>19.71</v>
      </c>
      <c r="AA174">
        <v>19.71</v>
      </c>
      <c r="AC174">
        <v>3.93</v>
      </c>
      <c r="AE174" t="str">
        <f>CONCATENATE(VLOOKUP(AF174, 'Voxel Sizes'!$A$2:$B$18,2,FALSE),"x",INT(AB174*15), "x", INT(AC174*15))</f>
        <v>198x0x58</v>
      </c>
      <c r="AF174">
        <f t="shared" si="7"/>
        <v>12</v>
      </c>
      <c r="AH174" t="str">
        <f>CONCATENATE(VLOOKUP(AF174,'Articulated Lengths'!$A$2:$C$16,IF(AG174&lt;&gt;"", 3, 2), FALSE),IF(AG174&lt;&gt;"",CONCATENATE(",",VLOOKUP(AG174,$B$2:$AH$219,33,FALSE)),""))</f>
        <v>3,3,6</v>
      </c>
      <c r="AO174">
        <v>10</v>
      </c>
      <c r="AP174">
        <v>10</v>
      </c>
      <c r="AU174" t="str">
        <f>VLOOKUP(F174,Eras!$A$2:$C$10, 2, TRUE)</f>
        <v>prv</v>
      </c>
      <c r="AV174" t="s">
        <v>391</v>
      </c>
      <c r="AW174" t="str">
        <f t="shared" si="8"/>
        <v>prv_Freight</v>
      </c>
      <c r="AX174" t="s">
        <v>657</v>
      </c>
    </row>
    <row r="175" spans="1:50" x14ac:dyDescent="0.25">
      <c r="A175" t="s">
        <v>655</v>
      </c>
      <c r="B175" t="s">
        <v>660</v>
      </c>
      <c r="C175" t="s">
        <v>475</v>
      </c>
      <c r="D175" t="s">
        <v>357</v>
      </c>
      <c r="E175" t="s">
        <v>365</v>
      </c>
      <c r="F175">
        <v>2000</v>
      </c>
      <c r="G175">
        <v>2001</v>
      </c>
      <c r="H175">
        <v>2012</v>
      </c>
      <c r="I175">
        <v>8</v>
      </c>
      <c r="J175">
        <v>3620</v>
      </c>
      <c r="S175">
        <v>319</v>
      </c>
      <c r="V175">
        <v>240</v>
      </c>
      <c r="W175" s="4">
        <f t="shared" si="6"/>
        <v>7.5235109717868343E-2</v>
      </c>
      <c r="X175">
        <v>100</v>
      </c>
      <c r="AA175">
        <v>21</v>
      </c>
      <c r="AD175" s="11">
        <f>23*3</f>
        <v>69</v>
      </c>
      <c r="AE175" t="str">
        <f>CONCATENATE(VLOOKUP(AF175, 'Voxel Sizes'!$A$2:$B$18,2,FALSE),"x",INT(AB175*15), "x", INT(AC175*15))</f>
        <v>198x0x0</v>
      </c>
      <c r="AF175">
        <f t="shared" si="7"/>
        <v>12</v>
      </c>
      <c r="AH175" t="str">
        <f>CONCATENATE(VLOOKUP(AF175,'Articulated Lengths'!$A$2:$C$16,IF(AG175&lt;&gt;"", 3, 2), FALSE),IF(AG175&lt;&gt;"",CONCATENATE(",",VLOOKUP(AG175,$B$2:$AH$219,33,FALSE)),""))</f>
        <v>3,3,6</v>
      </c>
      <c r="AJ175" t="s">
        <v>663</v>
      </c>
      <c r="AL175" t="s">
        <v>662</v>
      </c>
      <c r="AO175">
        <v>10</v>
      </c>
      <c r="AP175">
        <v>10</v>
      </c>
      <c r="AT175" t="s">
        <v>344</v>
      </c>
      <c r="AU175" t="str">
        <f>VLOOKUP(F175,Eras!$A$2:$C$10, 2, TRUE)</f>
        <v>prv</v>
      </c>
      <c r="AV175" t="s">
        <v>396</v>
      </c>
      <c r="AW175" t="str">
        <f t="shared" si="8"/>
        <v>prv_EMU (Express)</v>
      </c>
      <c r="AX175" t="s">
        <v>661</v>
      </c>
    </row>
    <row r="176" spans="1:50" x14ac:dyDescent="0.25">
      <c r="A176" t="s">
        <v>656</v>
      </c>
      <c r="B176" t="s">
        <v>747</v>
      </c>
      <c r="C176" t="s">
        <v>475</v>
      </c>
      <c r="D176" t="s">
        <v>357</v>
      </c>
      <c r="E176" t="s">
        <v>358</v>
      </c>
      <c r="F176">
        <v>2002</v>
      </c>
      <c r="I176">
        <v>8</v>
      </c>
      <c r="J176">
        <v>6840</v>
      </c>
      <c r="S176">
        <v>466</v>
      </c>
      <c r="V176">
        <v>325</v>
      </c>
      <c r="W176" s="4">
        <f t="shared" si="6"/>
        <v>6.974248927038626E-2</v>
      </c>
      <c r="X176">
        <v>140</v>
      </c>
      <c r="Z176">
        <v>23.9</v>
      </c>
      <c r="AA176">
        <v>23.9</v>
      </c>
      <c r="AB176">
        <v>2.73</v>
      </c>
      <c r="AC176">
        <v>3.56</v>
      </c>
      <c r="AD176" s="11">
        <v>60</v>
      </c>
      <c r="AE176" t="str">
        <f>CONCATENATE(VLOOKUP(AF176, 'Voxel Sizes'!$A$2:$B$18,2,FALSE),"x",INT(AB176*15), "x", INT(AC176*15))</f>
        <v>238x40x53</v>
      </c>
      <c r="AF176">
        <f t="shared" si="7"/>
        <v>14</v>
      </c>
      <c r="AH176" t="str">
        <f>CONCATENATE(VLOOKUP(AF176,'Articulated Lengths'!$A$2:$C$16,IF(AG176&lt;&gt;"", 3, 2), FALSE),IF(AG176&lt;&gt;"",CONCATENATE(",",VLOOKUP(AG176,$B$2:$AH$219,33,FALSE)),""))</f>
        <v>4,4,6</v>
      </c>
      <c r="AJ176" t="s">
        <v>746</v>
      </c>
      <c r="AL176" t="s">
        <v>749</v>
      </c>
      <c r="AO176">
        <v>10</v>
      </c>
      <c r="AP176">
        <v>10</v>
      </c>
      <c r="AS176">
        <v>1</v>
      </c>
      <c r="AT176" t="s">
        <v>344</v>
      </c>
      <c r="AU176" t="str">
        <f>VLOOKUP(F176,Eras!$A$2:$C$10, 2, TRUE)</f>
        <v>prv</v>
      </c>
      <c r="AV176" t="s">
        <v>396</v>
      </c>
      <c r="AW176" t="str">
        <f t="shared" si="8"/>
        <v>prv_EMU (Express)</v>
      </c>
      <c r="AX176" t="s">
        <v>748</v>
      </c>
    </row>
    <row r="177" spans="1:50" x14ac:dyDescent="0.25">
      <c r="A177" t="s">
        <v>104</v>
      </c>
      <c r="B177" t="s">
        <v>281</v>
      </c>
      <c r="C177" t="s">
        <v>475</v>
      </c>
      <c r="D177" t="s">
        <v>333</v>
      </c>
      <c r="E177" t="s">
        <v>335</v>
      </c>
      <c r="F177">
        <v>2002</v>
      </c>
      <c r="I177">
        <v>4</v>
      </c>
      <c r="J177">
        <v>3000</v>
      </c>
      <c r="S177">
        <v>185.6</v>
      </c>
      <c r="V177">
        <v>185</v>
      </c>
      <c r="W177" s="4">
        <f t="shared" si="6"/>
        <v>9.9676724137931036E-2</v>
      </c>
      <c r="X177">
        <v>125</v>
      </c>
      <c r="Z177">
        <v>23.8</v>
      </c>
      <c r="AA177">
        <v>23.8</v>
      </c>
      <c r="AB177">
        <v>2.73</v>
      </c>
      <c r="AD177" s="11">
        <v>51</v>
      </c>
      <c r="AE177" t="str">
        <f>CONCATENATE(VLOOKUP(AF177, 'Voxel Sizes'!$A$2:$B$18,2,FALSE),"x",INT(AB177*15), "x", INT(AC177*15))</f>
        <v>238x40x0</v>
      </c>
      <c r="AF177">
        <f t="shared" si="7"/>
        <v>14</v>
      </c>
      <c r="AH177" t="str">
        <f>CONCATENATE(VLOOKUP(AF177,'Articulated Lengths'!$A$2:$C$16,IF(AG177&lt;&gt;"", 3, 2), FALSE),IF(AG177&lt;&gt;"",CONCATENATE(",",VLOOKUP(AG177,$B$2:$AH$219,33,FALSE)),""))</f>
        <v>4,4,6</v>
      </c>
      <c r="AJ177" t="s">
        <v>753</v>
      </c>
      <c r="AL177" t="s">
        <v>538</v>
      </c>
      <c r="AO177">
        <v>10</v>
      </c>
      <c r="AP177">
        <v>10</v>
      </c>
      <c r="AT177" t="s">
        <v>344</v>
      </c>
      <c r="AU177" t="str">
        <f>VLOOKUP(F177,Eras!$A$2:$C$10, 2, TRUE)</f>
        <v>prv</v>
      </c>
      <c r="AV177" t="s">
        <v>394</v>
      </c>
      <c r="AW177" t="str">
        <f t="shared" si="8"/>
        <v>prv_DMU (Express)</v>
      </c>
      <c r="AX177" t="s">
        <v>751</v>
      </c>
    </row>
    <row r="178" spans="1:50" x14ac:dyDescent="0.25">
      <c r="A178" t="s">
        <v>105</v>
      </c>
      <c r="B178" t="s">
        <v>280</v>
      </c>
      <c r="C178" t="s">
        <v>475</v>
      </c>
      <c r="D178" t="s">
        <v>333</v>
      </c>
      <c r="E178" t="s">
        <v>335</v>
      </c>
      <c r="F178">
        <v>2002</v>
      </c>
      <c r="I178">
        <v>5</v>
      </c>
      <c r="J178">
        <f>750*5</f>
        <v>3750</v>
      </c>
      <c r="S178">
        <v>282</v>
      </c>
      <c r="V178">
        <v>270</v>
      </c>
      <c r="W178" s="4">
        <f t="shared" si="6"/>
        <v>9.5744680851063829E-2</v>
      </c>
      <c r="X178">
        <v>125</v>
      </c>
      <c r="Z178">
        <v>23.8</v>
      </c>
      <c r="AA178">
        <v>23.8</v>
      </c>
      <c r="AB178">
        <v>2.73</v>
      </c>
      <c r="AD178" s="11">
        <v>51</v>
      </c>
      <c r="AE178" t="str">
        <f>CONCATENATE(VLOOKUP(AF178, 'Voxel Sizes'!$A$2:$B$18,2,FALSE),"x",INT(AB178*15), "x", INT(AC178*15))</f>
        <v>238x40x0</v>
      </c>
      <c r="AF178">
        <f t="shared" si="7"/>
        <v>14</v>
      </c>
      <c r="AH178" t="str">
        <f>CONCATENATE(VLOOKUP(AF178,'Articulated Lengths'!$A$2:$C$16,IF(AG178&lt;&gt;"", 3, 2), FALSE),IF(AG178&lt;&gt;"",CONCATENATE(",",VLOOKUP(AG178,$B$2:$AH$219,33,FALSE)),""))</f>
        <v>4,4,6</v>
      </c>
      <c r="AJ178" t="s">
        <v>754</v>
      </c>
      <c r="AL178" t="s">
        <v>755</v>
      </c>
      <c r="AM178" t="s">
        <v>281</v>
      </c>
      <c r="AO178">
        <v>10</v>
      </c>
      <c r="AP178">
        <v>10</v>
      </c>
      <c r="AS178">
        <v>1</v>
      </c>
      <c r="AT178" t="s">
        <v>344</v>
      </c>
      <c r="AU178" t="str">
        <f>VLOOKUP(F178,Eras!$A$2:$C$10, 2, TRUE)</f>
        <v>prv</v>
      </c>
      <c r="AV178" t="s">
        <v>394</v>
      </c>
      <c r="AW178" t="str">
        <f t="shared" si="8"/>
        <v>prv_DMU (Express)</v>
      </c>
      <c r="AX178" t="s">
        <v>752</v>
      </c>
    </row>
    <row r="179" spans="1:50" x14ac:dyDescent="0.25">
      <c r="A179" t="s">
        <v>85</v>
      </c>
      <c r="B179" t="s">
        <v>665</v>
      </c>
      <c r="C179" t="s">
        <v>475</v>
      </c>
      <c r="D179" t="s">
        <v>630</v>
      </c>
      <c r="E179" t="s">
        <v>629</v>
      </c>
      <c r="F179">
        <v>2003</v>
      </c>
      <c r="I179">
        <v>4</v>
      </c>
      <c r="J179">
        <v>1600</v>
      </c>
      <c r="S179">
        <v>173.6</v>
      </c>
      <c r="V179">
        <v>175</v>
      </c>
      <c r="W179" s="4">
        <f t="shared" si="6"/>
        <v>0.10080645161290322</v>
      </c>
      <c r="X179">
        <v>100</v>
      </c>
      <c r="Z179">
        <v>20.399999999999999</v>
      </c>
      <c r="AA179">
        <v>20.399999999999999</v>
      </c>
      <c r="AC179">
        <v>3.78</v>
      </c>
      <c r="AD179" s="11">
        <v>60</v>
      </c>
      <c r="AE179" t="str">
        <f>CONCATENATE(VLOOKUP(AF179, 'Voxel Sizes'!$A$2:$B$18,2,FALSE),"x",INT(AB179*15), "x", INT(AC179*15))</f>
        <v>198x0x56</v>
      </c>
      <c r="AF179">
        <f t="shared" si="7"/>
        <v>12</v>
      </c>
      <c r="AH179" t="str">
        <f>CONCATENATE(VLOOKUP(AF179,'Articulated Lengths'!$A$2:$C$16,IF(AG179&lt;&gt;"", 3, 2), FALSE),IF(AG179&lt;&gt;"",CONCATENATE(",",VLOOKUP(AG179,$B$2:$AH$219,33,FALSE)),""))</f>
        <v>3,3,6</v>
      </c>
      <c r="AJ179" t="s">
        <v>666</v>
      </c>
      <c r="AK179" t="s">
        <v>667</v>
      </c>
      <c r="AL179" t="s">
        <v>633</v>
      </c>
      <c r="AO179">
        <v>10</v>
      </c>
      <c r="AP179">
        <v>10</v>
      </c>
      <c r="AT179" t="s">
        <v>344</v>
      </c>
      <c r="AU179" t="str">
        <f>VLOOKUP(F179,Eras!$A$2:$C$10, 2, TRUE)</f>
        <v>prv</v>
      </c>
      <c r="AV179" t="s">
        <v>395</v>
      </c>
      <c r="AW179" t="str">
        <f t="shared" si="8"/>
        <v>prv_EMU</v>
      </c>
      <c r="AX179" t="s">
        <v>664</v>
      </c>
    </row>
    <row r="180" spans="1:50" x14ac:dyDescent="0.25">
      <c r="A180" t="s">
        <v>93</v>
      </c>
      <c r="B180" t="s">
        <v>278</v>
      </c>
      <c r="C180" t="s">
        <v>475</v>
      </c>
      <c r="D180" t="s">
        <v>357</v>
      </c>
      <c r="E180" t="s">
        <v>365</v>
      </c>
      <c r="F180">
        <v>2003</v>
      </c>
      <c r="G180">
        <v>2006</v>
      </c>
      <c r="I180">
        <v>4</v>
      </c>
      <c r="J180">
        <v>2010</v>
      </c>
      <c r="S180">
        <v>170</v>
      </c>
      <c r="V180">
        <v>180</v>
      </c>
      <c r="W180" s="4">
        <f t="shared" si="6"/>
        <v>0.10588235294117647</v>
      </c>
      <c r="X180">
        <v>100</v>
      </c>
      <c r="Z180">
        <v>20.399999999999999</v>
      </c>
      <c r="AA180">
        <v>20.399999999999999</v>
      </c>
      <c r="AB180">
        <v>2.8</v>
      </c>
      <c r="AD180" s="11">
        <v>66</v>
      </c>
      <c r="AE180" t="str">
        <f>CONCATENATE(VLOOKUP(AF180, 'Voxel Sizes'!$A$2:$B$18,2,FALSE),"x",INT(AB180*15), "x", INT(AC180*15))</f>
        <v>198x42x0</v>
      </c>
      <c r="AF180">
        <f t="shared" si="7"/>
        <v>12</v>
      </c>
      <c r="AH180" t="str">
        <f>CONCATENATE(VLOOKUP(AF180,'Articulated Lengths'!$A$2:$C$16,IF(AG180&lt;&gt;"", 3, 2), FALSE),IF(AG180&lt;&gt;"",CONCATENATE(",",VLOOKUP(AG180,$B$2:$AH$219,33,FALSE)),""))</f>
        <v>3,3,6</v>
      </c>
      <c r="AJ180" t="s">
        <v>693</v>
      </c>
      <c r="AL180" t="s">
        <v>633</v>
      </c>
      <c r="AO180">
        <v>10</v>
      </c>
      <c r="AP180">
        <v>10</v>
      </c>
      <c r="AT180" t="s">
        <v>344</v>
      </c>
      <c r="AU180" t="str">
        <f>VLOOKUP(F180,Eras!$A$2:$C$10, 2, TRUE)</f>
        <v>prv</v>
      </c>
      <c r="AV180" t="s">
        <v>395</v>
      </c>
      <c r="AW180" t="str">
        <f t="shared" si="8"/>
        <v>prv_EMU</v>
      </c>
      <c r="AX180" t="s">
        <v>691</v>
      </c>
    </row>
    <row r="181" spans="1:50" x14ac:dyDescent="0.25">
      <c r="A181" t="s">
        <v>94</v>
      </c>
      <c r="B181" t="s">
        <v>279</v>
      </c>
      <c r="C181" t="s">
        <v>475</v>
      </c>
      <c r="D181" t="s">
        <v>357</v>
      </c>
      <c r="E181" t="s">
        <v>365</v>
      </c>
      <c r="F181">
        <v>2004</v>
      </c>
      <c r="I181">
        <v>5</v>
      </c>
      <c r="J181">
        <v>2680</v>
      </c>
      <c r="S181">
        <v>227</v>
      </c>
      <c r="V181">
        <v>210</v>
      </c>
      <c r="W181" s="4">
        <f t="shared" si="6"/>
        <v>9.2511013215859028E-2</v>
      </c>
      <c r="X181">
        <v>100</v>
      </c>
      <c r="Z181">
        <v>23</v>
      </c>
      <c r="AA181">
        <v>23</v>
      </c>
      <c r="AB181">
        <v>2.8</v>
      </c>
      <c r="AD181" s="11">
        <v>66</v>
      </c>
      <c r="AE181" t="str">
        <f>CONCATENATE(VLOOKUP(AF181, 'Voxel Sizes'!$A$2:$B$18,2,FALSE),"x",INT(AB181*15), "x", INT(AC181*15))</f>
        <v>214x42x0</v>
      </c>
      <c r="AF181">
        <f t="shared" si="7"/>
        <v>13</v>
      </c>
      <c r="AH181" t="str">
        <f>CONCATENATE(VLOOKUP(AF181,'Articulated Lengths'!$A$2:$C$16,IF(AG181&lt;&gt;"", 3, 2), FALSE),IF(AG181&lt;&gt;"",CONCATENATE(",",VLOOKUP(AG181,$B$2:$AH$219,33,FALSE)),""))</f>
        <v>4,4,5</v>
      </c>
      <c r="AJ181" t="s">
        <v>694</v>
      </c>
      <c r="AL181" t="s">
        <v>695</v>
      </c>
      <c r="AO181">
        <v>10</v>
      </c>
      <c r="AP181">
        <v>10</v>
      </c>
      <c r="AT181" t="s">
        <v>344</v>
      </c>
      <c r="AU181" t="str">
        <f>VLOOKUP(F181,Eras!$A$2:$C$10, 2, TRUE)</f>
        <v>prv</v>
      </c>
      <c r="AV181" t="s">
        <v>396</v>
      </c>
      <c r="AW181" t="str">
        <f t="shared" si="8"/>
        <v>prv_EMU (Express)</v>
      </c>
      <c r="AX181" t="s">
        <v>692</v>
      </c>
    </row>
    <row r="182" spans="1:50" x14ac:dyDescent="0.25">
      <c r="A182" t="s">
        <v>87</v>
      </c>
      <c r="B182" t="s">
        <v>303</v>
      </c>
      <c r="C182" t="s">
        <v>181</v>
      </c>
      <c r="E182" t="s">
        <v>335</v>
      </c>
      <c r="F182">
        <v>2007</v>
      </c>
      <c r="G182">
        <v>2009</v>
      </c>
      <c r="H182" t="s">
        <v>164</v>
      </c>
      <c r="J182">
        <f>16*280</f>
        <v>4480</v>
      </c>
      <c r="S182">
        <v>265</v>
      </c>
      <c r="W182" s="4" t="str">
        <f t="shared" si="6"/>
        <v/>
      </c>
      <c r="X182">
        <v>157</v>
      </c>
      <c r="Z182">
        <v>20.88</v>
      </c>
      <c r="AA182">
        <v>20.88</v>
      </c>
      <c r="AC182">
        <v>3.82</v>
      </c>
      <c r="AD182" s="11">
        <v>352</v>
      </c>
      <c r="AE182" t="str">
        <f>CONCATENATE(VLOOKUP(AF182, 'Voxel Sizes'!$A$2:$B$18,2,FALSE),"x",INT(AB182*15), "x", INT(AC182*15))</f>
        <v>198x0x57</v>
      </c>
      <c r="AF182">
        <f t="shared" si="7"/>
        <v>12</v>
      </c>
      <c r="AH182" t="str">
        <f>CONCATENATE(VLOOKUP(AF182,'Articulated Lengths'!$A$2:$C$16,IF(AG182&lt;&gt;"", 3, 2), FALSE),IF(AG182&lt;&gt;"",CONCATENATE(",",VLOOKUP(AG182,$B$2:$AH$219,33,FALSE)),""))</f>
        <v>3,3,6</v>
      </c>
      <c r="AO182">
        <v>10</v>
      </c>
      <c r="AP182">
        <v>10</v>
      </c>
      <c r="AU182" t="str">
        <f>VLOOKUP(F182,Eras!$A$2:$C$10, 2, TRUE)</f>
        <v>mod</v>
      </c>
      <c r="AV182" t="s">
        <v>396</v>
      </c>
      <c r="AW182" t="str">
        <f t="shared" si="8"/>
        <v>mod_EMU (Express)</v>
      </c>
    </row>
    <row r="183" spans="1:50" x14ac:dyDescent="0.25">
      <c r="A183" t="s">
        <v>61</v>
      </c>
      <c r="B183" t="s">
        <v>223</v>
      </c>
      <c r="C183" t="s">
        <v>323</v>
      </c>
      <c r="D183" t="s">
        <v>333</v>
      </c>
      <c r="E183" t="s">
        <v>335</v>
      </c>
      <c r="F183">
        <v>2008</v>
      </c>
      <c r="G183">
        <v>2017</v>
      </c>
      <c r="J183">
        <v>3690</v>
      </c>
      <c r="S183">
        <v>129</v>
      </c>
      <c r="V183">
        <v>330</v>
      </c>
      <c r="W183" s="4">
        <f t="shared" si="6"/>
        <v>0.2558139534883721</v>
      </c>
      <c r="X183">
        <v>75</v>
      </c>
      <c r="Z183">
        <v>21.27</v>
      </c>
      <c r="AA183">
        <v>21.27</v>
      </c>
      <c r="AC183">
        <v>3.91</v>
      </c>
      <c r="AE183" t="str">
        <f>CONCATENATE(VLOOKUP(AF183, 'Voxel Sizes'!$A$2:$B$18,2,FALSE),"x",INT(AB183*15), "x", INT(AC183*15))</f>
        <v>198x0x58</v>
      </c>
      <c r="AF183">
        <f t="shared" si="7"/>
        <v>12</v>
      </c>
      <c r="AH183" t="str">
        <f>CONCATENATE(VLOOKUP(AF183,'Articulated Lengths'!$A$2:$C$16,IF(AG183&lt;&gt;"", 3, 2), FALSE),IF(AG183&lt;&gt;"",CONCATENATE(",",VLOOKUP(AG183,$B$2:$AH$219,33,FALSE)),""))</f>
        <v>3,3,6</v>
      </c>
      <c r="AO183">
        <v>10</v>
      </c>
      <c r="AP183">
        <v>10</v>
      </c>
      <c r="AU183" t="str">
        <f>VLOOKUP(F183,Eras!$A$2:$C$10, 2, TRUE)</f>
        <v>mod</v>
      </c>
      <c r="AV183" t="s">
        <v>391</v>
      </c>
      <c r="AW183" t="str">
        <f t="shared" si="8"/>
        <v>mod_Freight</v>
      </c>
      <c r="AX183" t="s">
        <v>681</v>
      </c>
    </row>
    <row r="184" spans="1:50" x14ac:dyDescent="0.25">
      <c r="A184" t="s">
        <v>124</v>
      </c>
      <c r="B184" t="s">
        <v>247</v>
      </c>
      <c r="C184" t="s">
        <v>181</v>
      </c>
      <c r="E184" t="s">
        <v>335</v>
      </c>
      <c r="F184">
        <v>2009</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FALSE),IF(AG184&lt;&gt;"",CONCATENATE(",",VLOOKUP(AG184,$B$2:$AH$219,33,FALSE)),""))</f>
        <v>na</v>
      </c>
      <c r="AO184">
        <v>10</v>
      </c>
      <c r="AP184">
        <v>10</v>
      </c>
      <c r="AU184" t="str">
        <f>VLOOKUP(F184,Eras!$A$2:$C$10, 2, TRUE)</f>
        <v>mod</v>
      </c>
      <c r="AV184" t="s">
        <v>407</v>
      </c>
      <c r="AW184" t="str">
        <f t="shared" si="8"/>
        <v>mod_LU</v>
      </c>
    </row>
    <row r="185" spans="1:50" x14ac:dyDescent="0.25">
      <c r="A185" t="s">
        <v>92</v>
      </c>
      <c r="B185" t="s">
        <v>277</v>
      </c>
      <c r="C185" t="s">
        <v>475</v>
      </c>
      <c r="D185" t="s">
        <v>630</v>
      </c>
      <c r="E185" t="s">
        <v>629</v>
      </c>
      <c r="F185">
        <v>2009</v>
      </c>
      <c r="I185">
        <v>5</v>
      </c>
      <c r="J185">
        <f>800*2</f>
        <v>1600</v>
      </c>
      <c r="S185">
        <v>212.8</v>
      </c>
      <c r="V185">
        <v>180</v>
      </c>
      <c r="W185" s="4">
        <f t="shared" si="6"/>
        <v>8.4586466165413529E-2</v>
      </c>
      <c r="X185">
        <v>75</v>
      </c>
      <c r="Z185">
        <v>20.399999999999999</v>
      </c>
      <c r="AA185">
        <v>20.399999999999999</v>
      </c>
      <c r="AB185">
        <v>2.8</v>
      </c>
      <c r="AC185">
        <v>3.78</v>
      </c>
      <c r="AD185" s="11">
        <v>90</v>
      </c>
      <c r="AE185" t="str">
        <f>CONCATENATE(VLOOKUP(AF185, 'Voxel Sizes'!$A$2:$B$18,2,FALSE),"x",INT(AB185*15), "x", INT(AC185*15))</f>
        <v>198x42x56</v>
      </c>
      <c r="AF185">
        <f t="shared" si="7"/>
        <v>12</v>
      </c>
      <c r="AH185" t="str">
        <f>CONCATENATE(VLOOKUP(AF185,'Articulated Lengths'!$A$2:$C$16,IF(AG185&lt;&gt;"", 3, 2), FALSE),IF(AG185&lt;&gt;"",CONCATENATE(",",VLOOKUP(AG185,$B$2:$AH$219,33,FALSE)),""))</f>
        <v>3,3,6</v>
      </c>
      <c r="AJ185" t="s">
        <v>688</v>
      </c>
      <c r="AK185" t="s">
        <v>689</v>
      </c>
      <c r="AL185" t="s">
        <v>690</v>
      </c>
      <c r="AO185">
        <v>10</v>
      </c>
      <c r="AP185">
        <v>10</v>
      </c>
      <c r="AT185" t="s">
        <v>344</v>
      </c>
      <c r="AU185" t="str">
        <f>VLOOKUP(F185,Eras!$A$2:$C$10, 2, TRUE)</f>
        <v>mod</v>
      </c>
      <c r="AV185" t="s">
        <v>395</v>
      </c>
      <c r="AW185" t="str">
        <f t="shared" si="8"/>
        <v>mod_EMU</v>
      </c>
      <c r="AX185" t="s">
        <v>687</v>
      </c>
    </row>
    <row r="186" spans="1:50" x14ac:dyDescent="0.25">
      <c r="A186" t="s">
        <v>125</v>
      </c>
      <c r="B186" t="s">
        <v>248</v>
      </c>
      <c r="C186" t="s">
        <v>181</v>
      </c>
      <c r="E186" t="s">
        <v>335</v>
      </c>
      <c r="F186">
        <v>2010</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FALSE),IF(AG186&lt;&gt;"",CONCATENATE(",",VLOOKUP(AG186,$B$2:$AH$219,33,FALSE)),""))</f>
        <v>na</v>
      </c>
      <c r="AO186">
        <v>10</v>
      </c>
      <c r="AP186">
        <v>10</v>
      </c>
      <c r="AU186" t="str">
        <f>VLOOKUP(F186,Eras!$A$2:$C$10, 2, TRUE)</f>
        <v>mod</v>
      </c>
      <c r="AV186" t="s">
        <v>407</v>
      </c>
      <c r="AW186" t="str">
        <f t="shared" si="8"/>
        <v>mod_LU</v>
      </c>
    </row>
    <row r="187" spans="1:50" x14ac:dyDescent="0.25">
      <c r="A187" t="s">
        <v>683</v>
      </c>
      <c r="B187" t="s">
        <v>682</v>
      </c>
      <c r="C187" t="s">
        <v>323</v>
      </c>
      <c r="D187" t="s">
        <v>333</v>
      </c>
      <c r="E187" t="s">
        <v>335</v>
      </c>
      <c r="F187">
        <v>2013</v>
      </c>
      <c r="G187">
        <v>2016</v>
      </c>
      <c r="J187">
        <v>3800</v>
      </c>
      <c r="S187">
        <v>85</v>
      </c>
      <c r="V187">
        <v>317</v>
      </c>
      <c r="W187" s="4">
        <f t="shared" si="6"/>
        <v>0.37294117647058822</v>
      </c>
      <c r="X187">
        <v>100</v>
      </c>
      <c r="Z187">
        <v>20.5</v>
      </c>
      <c r="AA187">
        <v>20.5</v>
      </c>
      <c r="AE187" t="str">
        <f>CONCATENATE(VLOOKUP(AF187, 'Voxel Sizes'!$A$2:$B$18,2,FALSE),"x",INT(AB187*15), "x", INT(AC187*15))</f>
        <v>198x0x0</v>
      </c>
      <c r="AF187">
        <f t="shared" si="7"/>
        <v>12</v>
      </c>
      <c r="AH187" t="str">
        <f>CONCATENATE(VLOOKUP(AF187,'Articulated Lengths'!$A$2:$C$16,IF(AG187&lt;&gt;"", 3, 2), FALSE),IF(AG187&lt;&gt;"",CONCATENATE(",",VLOOKUP(AG187,$B$2:$AH$219,33,FALSE)),""))</f>
        <v>3,3,6</v>
      </c>
      <c r="AO187">
        <v>10</v>
      </c>
      <c r="AP187">
        <v>10</v>
      </c>
      <c r="AU187" t="str">
        <f>VLOOKUP(F187,Eras!$A$2:$C$10, 2, TRUE)</f>
        <v>mod</v>
      </c>
      <c r="AV187" t="s">
        <v>389</v>
      </c>
      <c r="AW187" t="str">
        <f t="shared" si="8"/>
        <v>mod_Mixed Traffic</v>
      </c>
      <c r="AX187" t="s">
        <v>686</v>
      </c>
    </row>
    <row r="188" spans="1:50" x14ac:dyDescent="0.25">
      <c r="A188" t="s">
        <v>65</v>
      </c>
      <c r="B188" t="s">
        <v>224</v>
      </c>
      <c r="C188" t="s">
        <v>181</v>
      </c>
      <c r="E188" t="s">
        <v>335</v>
      </c>
      <c r="F188">
        <v>2015</v>
      </c>
      <c r="G188">
        <v>2016</v>
      </c>
      <c r="J188">
        <v>5400</v>
      </c>
      <c r="K188" s="9">
        <v>940</v>
      </c>
      <c r="S188">
        <v>86</v>
      </c>
      <c r="V188">
        <v>317</v>
      </c>
      <c r="W188" s="4">
        <f t="shared" si="6"/>
        <v>0.36860465116279068</v>
      </c>
      <c r="X188">
        <v>100</v>
      </c>
      <c r="Z188">
        <v>20.5</v>
      </c>
      <c r="AA188">
        <v>20.5</v>
      </c>
      <c r="AE188" t="str">
        <f>CONCATENATE(VLOOKUP(AF188, 'Voxel Sizes'!$A$2:$B$18,2,FALSE),"x",INT(AB188*15), "x", INT(AC188*15))</f>
        <v>198x0x0</v>
      </c>
      <c r="AF188">
        <f t="shared" si="7"/>
        <v>12</v>
      </c>
      <c r="AH188" t="str">
        <f>CONCATENATE(VLOOKUP(AF188,'Articulated Lengths'!$A$2:$C$16,IF(AG188&lt;&gt;"", 3, 2), FALSE),IF(AG188&lt;&gt;"",CONCATENATE(",",VLOOKUP(AG188,$B$2:$AH$219,33,FALSE)),""))</f>
        <v>3,3,6</v>
      </c>
      <c r="AO188">
        <v>10</v>
      </c>
      <c r="AP188">
        <v>10</v>
      </c>
      <c r="AU188" t="str">
        <f>VLOOKUP(F188,Eras!$A$2:$C$10, 2, TRUE)</f>
        <v>mod</v>
      </c>
      <c r="AV188" t="s">
        <v>401</v>
      </c>
      <c r="AW188" t="str">
        <f t="shared" si="8"/>
        <v>mod_Freight (Electric)</v>
      </c>
    </row>
    <row r="189" spans="1:50" x14ac:dyDescent="0.25">
      <c r="A189" t="s">
        <v>102</v>
      </c>
      <c r="B189" t="s">
        <v>739</v>
      </c>
      <c r="C189" t="s">
        <v>475</v>
      </c>
      <c r="D189" t="s">
        <v>333</v>
      </c>
      <c r="E189" t="s">
        <v>335</v>
      </c>
      <c r="F189">
        <v>2019</v>
      </c>
      <c r="I189">
        <v>2</v>
      </c>
      <c r="J189">
        <f>523*2</f>
        <v>1046</v>
      </c>
      <c r="S189">
        <v>80</v>
      </c>
      <c r="V189">
        <v>145</v>
      </c>
      <c r="W189" s="4">
        <f t="shared" si="6"/>
        <v>0.18124999999999999</v>
      </c>
      <c r="X189">
        <v>100</v>
      </c>
      <c r="Z189">
        <v>24</v>
      </c>
      <c r="AA189">
        <v>24</v>
      </c>
      <c r="AB189">
        <v>2.7</v>
      </c>
      <c r="AC189">
        <v>3.85</v>
      </c>
      <c r="AD189" s="11">
        <v>63</v>
      </c>
      <c r="AE189" t="str">
        <f>CONCATENATE(VLOOKUP(AF189, 'Voxel Sizes'!$A$2:$B$18,2,FALSE),"x",INT(AB189*15), "x", INT(AC189*15))</f>
        <v>238x40x57</v>
      </c>
      <c r="AF189">
        <f t="shared" si="7"/>
        <v>14</v>
      </c>
      <c r="AH189" t="str">
        <f>CONCATENATE(VLOOKUP(AF189,'Articulated Lengths'!$A$2:$C$16,IF(AG189&lt;&gt;"", 3, 2), FALSE),IF(AG189&lt;&gt;"",CONCATENATE(",",VLOOKUP(AG189,$B$2:$AH$219,33,FALSE)),""))</f>
        <v>4,4,6</v>
      </c>
      <c r="AJ189" t="s">
        <v>740</v>
      </c>
      <c r="AL189" t="s">
        <v>540</v>
      </c>
      <c r="AO189">
        <v>10</v>
      </c>
      <c r="AP189">
        <v>10</v>
      </c>
      <c r="AT189" t="s">
        <v>344</v>
      </c>
      <c r="AU189" t="str">
        <f>VLOOKUP(F189,Eras!$A$2:$C$10, 2, TRUE)</f>
        <v>mod</v>
      </c>
      <c r="AV189" t="s">
        <v>393</v>
      </c>
      <c r="AW189" t="str">
        <f t="shared" si="8"/>
        <v>mod_DMU</v>
      </c>
      <c r="AX189" t="s">
        <v>741</v>
      </c>
    </row>
    <row r="190" spans="1:50" x14ac:dyDescent="0.25">
      <c r="A190" t="s">
        <v>760</v>
      </c>
      <c r="B190" t="s">
        <v>761</v>
      </c>
      <c r="C190" t="s">
        <v>475</v>
      </c>
      <c r="D190" t="s">
        <v>357</v>
      </c>
      <c r="E190" t="s">
        <v>358</v>
      </c>
      <c r="F190">
        <v>1979</v>
      </c>
      <c r="G190">
        <v>1986</v>
      </c>
      <c r="I190">
        <v>14</v>
      </c>
      <c r="J190">
        <v>8000</v>
      </c>
      <c r="S190">
        <v>434</v>
      </c>
      <c r="V190">
        <v>210</v>
      </c>
      <c r="W190" s="4">
        <f t="shared" si="6"/>
        <v>4.8387096774193547E-2</v>
      </c>
      <c r="X190">
        <v>155</v>
      </c>
      <c r="Z190">
        <v>20.9</v>
      </c>
      <c r="AA190">
        <v>20.9</v>
      </c>
      <c r="AB190">
        <v>2.7</v>
      </c>
      <c r="AC190">
        <v>3.5</v>
      </c>
      <c r="AD190" s="11">
        <v>39</v>
      </c>
      <c r="AE190" t="str">
        <f>CONCATENATE(VLOOKUP(AF190, 'Voxel Sizes'!$A$2:$B$18,2,FALSE),"x",INT(AB190*15), "x", INT(AC190*15))</f>
        <v>198x40x52</v>
      </c>
      <c r="AF190">
        <f>ROUND(15*((AA190*10)/256),0)</f>
        <v>12</v>
      </c>
      <c r="AH190" t="str">
        <f>CONCATENATE(VLOOKUP(AF190,'Articulated Lengths'!$A$2:$C$16,IF(AG190&lt;&gt;"", 3, 2), FALSE),IF(AG190&lt;&gt;"",CONCATENATE(",",VLOOKUP(AG190,$B$2:$AH$219,33,FALSE)),""))</f>
        <v>3,3,6</v>
      </c>
      <c r="AJ190" t="s">
        <v>763</v>
      </c>
      <c r="AL190" t="s">
        <v>770</v>
      </c>
      <c r="AO190">
        <v>10</v>
      </c>
      <c r="AP190">
        <v>10</v>
      </c>
      <c r="AT190" t="s">
        <v>344</v>
      </c>
      <c r="AU190" t="str">
        <f>VLOOKUP(F190,Eras!$A$2:$C$10, 2, TRUE)</f>
        <v>lbr</v>
      </c>
      <c r="AV190" t="s">
        <v>396</v>
      </c>
      <c r="AW190" t="str">
        <f t="shared" si="8"/>
        <v>lbr_EMU (Express)</v>
      </c>
      <c r="AX190" t="s">
        <v>762</v>
      </c>
    </row>
    <row r="191" spans="1:50" x14ac:dyDescent="0.25">
      <c r="A191" t="s">
        <v>735</v>
      </c>
      <c r="B191" t="s">
        <v>736</v>
      </c>
      <c r="C191" t="s">
        <v>475</v>
      </c>
      <c r="D191" t="s">
        <v>630</v>
      </c>
      <c r="E191" t="s">
        <v>629</v>
      </c>
      <c r="F191">
        <v>1992</v>
      </c>
      <c r="G191">
        <v>1996</v>
      </c>
      <c r="I191">
        <v>20</v>
      </c>
      <c r="J191">
        <v>16400</v>
      </c>
      <c r="K191" s="9">
        <v>4600</v>
      </c>
      <c r="S191">
        <v>752</v>
      </c>
      <c r="V191">
        <v>220</v>
      </c>
      <c r="W191" s="4">
        <f t="shared" ref="W191" si="9">IF(AND(S191&gt;0,V191&gt;0),(V191/((S191+T191)*10)),"")</f>
        <v>2.9255319148936171E-2</v>
      </c>
      <c r="X191">
        <v>186</v>
      </c>
      <c r="Z191">
        <v>22.15</v>
      </c>
      <c r="AA191">
        <v>22.15</v>
      </c>
      <c r="AB191">
        <v>2.81</v>
      </c>
      <c r="AD191" s="11">
        <v>39</v>
      </c>
      <c r="AE191" t="str">
        <f>CONCATENATE(VLOOKUP(AF191, 'Voxel Sizes'!$A$2:$B$18,2,FALSE),"x",INT(AB191*15), "x", INT(AC191*15))</f>
        <v>214x42x0</v>
      </c>
      <c r="AF191">
        <f t="shared" ref="AF191" si="10">ROUND(15*((AA191*10)/256),0)</f>
        <v>13</v>
      </c>
      <c r="AH191" t="str">
        <f>CONCATENATE(VLOOKUP(AF191,'Articulated Lengths'!$A$2:$C$16,IF(AG191&lt;&gt;"", 3, 2), FALSE),IF(AG191&lt;&gt;"",CONCATENATE(",",VLOOKUP(AG191,$B$2:$AH$219,33,FALSE)),""))</f>
        <v>4,4,5</v>
      </c>
      <c r="AI191" s="13" t="s">
        <v>788</v>
      </c>
      <c r="AJ191" t="s">
        <v>786</v>
      </c>
      <c r="AK191" t="s">
        <v>736</v>
      </c>
      <c r="AL191" t="s">
        <v>787</v>
      </c>
      <c r="AO191">
        <v>10</v>
      </c>
      <c r="AP191">
        <v>10</v>
      </c>
      <c r="AT191" t="s">
        <v>344</v>
      </c>
      <c r="AU191" t="str">
        <f>VLOOKUP(F191,Eras!$A$2:$C$10, 2, TRUE)</f>
        <v>lbr</v>
      </c>
      <c r="AV191" t="s">
        <v>396</v>
      </c>
      <c r="AW191" t="str">
        <f t="shared" ref="AW191" si="11">CONCATENATE(AU191,"_",AV191)</f>
        <v>lbr_EMU (Express)</v>
      </c>
      <c r="AX191" t="s">
        <v>789</v>
      </c>
    </row>
    <row r="192" spans="1:50" x14ac:dyDescent="0.25">
      <c r="A192" t="s">
        <v>735</v>
      </c>
      <c r="B192" t="s">
        <v>790</v>
      </c>
      <c r="C192" t="s">
        <v>475</v>
      </c>
      <c r="D192" t="s">
        <v>630</v>
      </c>
      <c r="E192" t="s">
        <v>629</v>
      </c>
      <c r="F192">
        <v>1992</v>
      </c>
      <c r="G192">
        <v>1996</v>
      </c>
      <c r="I192">
        <v>8</v>
      </c>
      <c r="J192">
        <v>16400</v>
      </c>
      <c r="K192" s="9">
        <v>4600</v>
      </c>
      <c r="S192">
        <f>(752/20)*8</f>
        <v>300.8</v>
      </c>
      <c r="V192">
        <v>220</v>
      </c>
      <c r="W192" s="4">
        <f t="shared" si="6"/>
        <v>7.3138297872340427E-2</v>
      </c>
      <c r="X192">
        <v>186</v>
      </c>
      <c r="Z192">
        <v>22.15</v>
      </c>
      <c r="AA192">
        <v>22.15</v>
      </c>
      <c r="AB192">
        <v>2.81</v>
      </c>
      <c r="AD192" s="11">
        <v>39</v>
      </c>
      <c r="AE192" t="str">
        <f>CONCATENATE(VLOOKUP(AF192, 'Voxel Sizes'!$A$2:$B$18,2,FALSE),"x",INT(AB192*15), "x", INT(AC192*15))</f>
        <v>214x42x0</v>
      </c>
      <c r="AF192">
        <f t="shared" si="7"/>
        <v>13</v>
      </c>
      <c r="AH192" t="str">
        <f>CONCATENATE(VLOOKUP(AF192,'Articulated Lengths'!$A$2:$C$16,IF(AG192&lt;&gt;"", 3, 2), FALSE),IF(AG192&lt;&gt;"",CONCATENATE(",",VLOOKUP(AG192,$B$2:$AH$219,33,FALSE)),""))</f>
        <v>4,4,5</v>
      </c>
      <c r="AI192" s="13" t="s">
        <v>794</v>
      </c>
      <c r="AJ192" t="s">
        <v>792</v>
      </c>
      <c r="AK192" t="s">
        <v>736</v>
      </c>
      <c r="AL192" t="s">
        <v>793</v>
      </c>
      <c r="AM192" t="s">
        <v>736</v>
      </c>
      <c r="AO192">
        <v>10</v>
      </c>
      <c r="AP192">
        <v>10</v>
      </c>
      <c r="AT192" t="s">
        <v>344</v>
      </c>
      <c r="AU192" t="str">
        <f>VLOOKUP(F192,Eras!$A$2:$C$10, 2, TRUE)</f>
        <v>lbr</v>
      </c>
      <c r="AV192" t="s">
        <v>396</v>
      </c>
      <c r="AW192" t="str">
        <f t="shared" si="8"/>
        <v>lbr_EMU (Express)</v>
      </c>
      <c r="AX192" t="s">
        <v>789</v>
      </c>
    </row>
    <row r="193" spans="1:50" x14ac:dyDescent="0.25">
      <c r="A193" t="s">
        <v>738</v>
      </c>
      <c r="B193" t="s">
        <v>737</v>
      </c>
      <c r="C193" t="s">
        <v>181</v>
      </c>
      <c r="E193" t="s">
        <v>335</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FALSE),IF(AG193&lt;&gt;"",CONCATENATE(",",VLOOKUP(AG193,$B$2:$AH$219,33,FALSE)),""))</f>
        <v>na</v>
      </c>
      <c r="AO193">
        <v>10</v>
      </c>
      <c r="AP193">
        <v>10</v>
      </c>
      <c r="AU193" t="e">
        <f>VLOOKUP(F193,Eras!$A$2:$C$10, 2, TRUE)</f>
        <v>#N/A</v>
      </c>
      <c r="AW193" t="e">
        <f t="shared" si="8"/>
        <v>#N/A</v>
      </c>
    </row>
    <row r="194" spans="1:50" x14ac:dyDescent="0.25">
      <c r="A194" t="s">
        <v>107</v>
      </c>
      <c r="B194" t="s">
        <v>288</v>
      </c>
      <c r="C194" t="s">
        <v>181</v>
      </c>
      <c r="E194" t="s">
        <v>335</v>
      </c>
      <c r="W194" s="4" t="str">
        <f t="shared" si="6"/>
        <v/>
      </c>
      <c r="AE194" t="str">
        <f>CONCATENATE(VLOOKUP(AF194, 'Voxel Sizes'!$A$2:$B$18,2,FALSE),"x",INT(AB194*15), "x", INT(AC194*15))</f>
        <v>0x0x0</v>
      </c>
      <c r="AF194">
        <f t="shared" si="7"/>
        <v>0</v>
      </c>
      <c r="AH194" t="str">
        <f>CONCATENATE(VLOOKUP(AF194,'Articulated Lengths'!$A$2:$C$16,IF(AG194&lt;&gt;"", 3, 2), FALSE),IF(AG194&lt;&gt;"",CONCATENATE(",",VLOOKUP(AG194,$B$2:$AH$219,33,FALSE)),""))</f>
        <v>na</v>
      </c>
      <c r="AO194">
        <v>10</v>
      </c>
      <c r="AP194">
        <v>10</v>
      </c>
      <c r="AU194" t="e">
        <f>VLOOKUP(F194,Eras!$A$2:$C$10, 2, TRUE)</f>
        <v>#N/A</v>
      </c>
      <c r="AW194" t="e">
        <f t="shared" si="8"/>
        <v>#N/A</v>
      </c>
    </row>
    <row r="195" spans="1:50" x14ac:dyDescent="0.25">
      <c r="A195" t="s">
        <v>109</v>
      </c>
      <c r="B195" t="s">
        <v>235</v>
      </c>
      <c r="C195" t="s">
        <v>181</v>
      </c>
      <c r="E195" t="s">
        <v>335</v>
      </c>
      <c r="W195" s="4" t="str">
        <f t="shared" ref="W195:W223" si="12">IF(AND(S195&gt;0,V195&gt;0),(V195/((S195+T195)*10)),"")</f>
        <v/>
      </c>
      <c r="AE195" t="str">
        <f>CONCATENATE(VLOOKUP(AF195, 'Voxel Sizes'!$A$2:$B$18,2,FALSE),"x",INT(AB195*15), "x", INT(AC195*15))</f>
        <v>0x0x0</v>
      </c>
      <c r="AF195">
        <f t="shared" ref="AF195:AF225" si="13">ROUND(15*((AA195*10)/256),0)</f>
        <v>0</v>
      </c>
      <c r="AH195" t="str">
        <f>CONCATENATE(VLOOKUP(AF195,'Articulated Lengths'!$A$2:$C$16,IF(AG195&lt;&gt;"", 3, 2), FALSE),IF(AG195&lt;&gt;"",CONCATENATE(",",VLOOKUP(AG195,$B$2:$AH$219,33,FALSE)),""))</f>
        <v>na</v>
      </c>
      <c r="AO195">
        <v>10</v>
      </c>
      <c r="AP195">
        <v>10</v>
      </c>
      <c r="AU195" t="e">
        <f>VLOOKUP(F195,Eras!$A$2:$C$10, 2, TRUE)</f>
        <v>#N/A</v>
      </c>
      <c r="AW195" t="e">
        <f t="shared" ref="AW195:AW225" si="14">CONCATENATE(AU195,"_",AV195)</f>
        <v>#N/A</v>
      </c>
    </row>
    <row r="196" spans="1:50" x14ac:dyDescent="0.25">
      <c r="A196" t="s">
        <v>110</v>
      </c>
      <c r="B196" t="s">
        <v>236</v>
      </c>
      <c r="C196" t="s">
        <v>181</v>
      </c>
      <c r="E196" t="s">
        <v>335</v>
      </c>
      <c r="W196" s="4" t="str">
        <f t="shared" si="12"/>
        <v/>
      </c>
      <c r="AE196" t="str">
        <f>CONCATENATE(VLOOKUP(AF196, 'Voxel Sizes'!$A$2:$B$18,2,FALSE),"x",INT(AB196*15), "x", INT(AC196*15))</f>
        <v>0x0x0</v>
      </c>
      <c r="AF196">
        <f t="shared" si="13"/>
        <v>0</v>
      </c>
      <c r="AH196" t="str">
        <f>CONCATENATE(VLOOKUP(AF196,'Articulated Lengths'!$A$2:$C$16,IF(AG196&lt;&gt;"", 3, 2), FALSE),IF(AG196&lt;&gt;"",CONCATENATE(",",VLOOKUP(AG196,$B$2:$AH$219,33,FALSE)),""))</f>
        <v>na</v>
      </c>
      <c r="AO196">
        <v>10</v>
      </c>
      <c r="AP196">
        <v>10</v>
      </c>
      <c r="AU196" t="e">
        <f>VLOOKUP(F196,Eras!$A$2:$C$10, 2, TRUE)</f>
        <v>#N/A</v>
      </c>
      <c r="AW196" t="e">
        <f t="shared" si="14"/>
        <v>#N/A</v>
      </c>
    </row>
    <row r="197" spans="1:50" x14ac:dyDescent="0.25">
      <c r="A197" t="s">
        <v>111</v>
      </c>
      <c r="B197" t="s">
        <v>286</v>
      </c>
      <c r="C197" t="s">
        <v>181</v>
      </c>
      <c r="E197" t="s">
        <v>335</v>
      </c>
      <c r="W197" s="4" t="str">
        <f t="shared" si="12"/>
        <v/>
      </c>
      <c r="AE197" t="str">
        <f>CONCATENATE(VLOOKUP(AF197, 'Voxel Sizes'!$A$2:$B$18,2,FALSE),"x",INT(AB197*15), "x", INT(AC197*15))</f>
        <v>0x0x0</v>
      </c>
      <c r="AF197">
        <f t="shared" si="13"/>
        <v>0</v>
      </c>
      <c r="AH197" t="str">
        <f>CONCATENATE(VLOOKUP(AF197,'Articulated Lengths'!$A$2:$C$16,IF(AG197&lt;&gt;"", 3, 2), FALSE),IF(AG197&lt;&gt;"",CONCATENATE(",",VLOOKUP(AG197,$B$2:$AH$219,33,FALSE)),""))</f>
        <v>na</v>
      </c>
      <c r="AO197">
        <v>10</v>
      </c>
      <c r="AP197">
        <v>10</v>
      </c>
      <c r="AU197" t="e">
        <f>VLOOKUP(F197,Eras!$A$2:$C$10, 2, TRUE)</f>
        <v>#N/A</v>
      </c>
      <c r="AW197" t="e">
        <f t="shared" si="14"/>
        <v>#N/A</v>
      </c>
    </row>
    <row r="198" spans="1:50" x14ac:dyDescent="0.25">
      <c r="A198" t="s">
        <v>112</v>
      </c>
      <c r="B198" t="s">
        <v>312</v>
      </c>
      <c r="C198" t="s">
        <v>181</v>
      </c>
      <c r="E198" t="s">
        <v>335</v>
      </c>
      <c r="W198" s="4" t="str">
        <f t="shared" si="12"/>
        <v/>
      </c>
      <c r="AE198" t="str">
        <f>CONCATENATE(VLOOKUP(AF198, 'Voxel Sizes'!$A$2:$B$18,2,FALSE),"x",INT(AB198*15), "x", INT(AC198*15))</f>
        <v>0x0x0</v>
      </c>
      <c r="AF198">
        <f t="shared" si="13"/>
        <v>0</v>
      </c>
      <c r="AH198" t="str">
        <f>CONCATENATE(VLOOKUP(AF198,'Articulated Lengths'!$A$2:$C$16,IF(AG198&lt;&gt;"", 3, 2), FALSE),IF(AG198&lt;&gt;"",CONCATENATE(",",VLOOKUP(AG198,$B$2:$AH$219,33,FALSE)),""))</f>
        <v>na</v>
      </c>
      <c r="AO198">
        <v>10</v>
      </c>
      <c r="AP198">
        <v>10</v>
      </c>
      <c r="AU198" t="e">
        <f>VLOOKUP(F198,Eras!$A$2:$C$10, 2, TRUE)</f>
        <v>#N/A</v>
      </c>
      <c r="AV198" t="s">
        <v>407</v>
      </c>
      <c r="AW198" t="e">
        <f t="shared" si="14"/>
        <v>#N/A</v>
      </c>
    </row>
    <row r="199" spans="1:50" x14ac:dyDescent="0.25">
      <c r="A199" t="s">
        <v>113</v>
      </c>
      <c r="B199" t="s">
        <v>237</v>
      </c>
      <c r="C199" t="s">
        <v>181</v>
      </c>
      <c r="E199" t="s">
        <v>335</v>
      </c>
      <c r="W199" s="4" t="str">
        <f t="shared" si="12"/>
        <v/>
      </c>
      <c r="AE199" t="str">
        <f>CONCATENATE(VLOOKUP(AF199, 'Voxel Sizes'!$A$2:$B$18,2,FALSE),"x",INT(AB199*15), "x", INT(AC199*15))</f>
        <v>0x0x0</v>
      </c>
      <c r="AF199">
        <f t="shared" si="13"/>
        <v>0</v>
      </c>
      <c r="AH199" t="str">
        <f>CONCATENATE(VLOOKUP(AF199,'Articulated Lengths'!$A$2:$C$16,IF(AG199&lt;&gt;"", 3, 2), FALSE),IF(AG199&lt;&gt;"",CONCATENATE(",",VLOOKUP(AG199,$B$2:$AH$219,33,FALSE)),""))</f>
        <v>na</v>
      </c>
      <c r="AO199">
        <v>10</v>
      </c>
      <c r="AP199">
        <v>10</v>
      </c>
      <c r="AU199" t="e">
        <f>VLOOKUP(F199,Eras!$A$2:$C$10, 2, TRUE)</f>
        <v>#N/A</v>
      </c>
      <c r="AV199" t="s">
        <v>407</v>
      </c>
      <c r="AW199" t="e">
        <f t="shared" si="14"/>
        <v>#N/A</v>
      </c>
    </row>
    <row r="200" spans="1:50" x14ac:dyDescent="0.25">
      <c r="A200" t="s">
        <v>126</v>
      </c>
      <c r="B200" t="s">
        <v>314</v>
      </c>
      <c r="C200" t="s">
        <v>181</v>
      </c>
      <c r="E200" t="s">
        <v>335</v>
      </c>
      <c r="W200" s="4" t="str">
        <f t="shared" si="12"/>
        <v/>
      </c>
      <c r="AE200" t="str">
        <f>CONCATENATE(VLOOKUP(AF200, 'Voxel Sizes'!$A$2:$B$18,2,FALSE),"x",INT(AB200*15), "x", INT(AC200*15))</f>
        <v>0x0x0</v>
      </c>
      <c r="AF200">
        <f t="shared" si="13"/>
        <v>0</v>
      </c>
      <c r="AH200" t="str">
        <f>CONCATENATE(VLOOKUP(AF200,'Articulated Lengths'!$A$2:$C$16,IF(AG200&lt;&gt;"", 3, 2), FALSE),IF(AG200&lt;&gt;"",CONCATENATE(",",VLOOKUP(AG200,$B$2:$AH$219,33,FALSE)),""))</f>
        <v>na</v>
      </c>
      <c r="AO200">
        <v>10</v>
      </c>
      <c r="AP200">
        <v>10</v>
      </c>
      <c r="AU200" t="e">
        <f>VLOOKUP(F200,Eras!$A$2:$C$10, 2, TRUE)</f>
        <v>#N/A</v>
      </c>
      <c r="AW200" t="e">
        <f t="shared" si="14"/>
        <v>#N/A</v>
      </c>
    </row>
    <row r="201" spans="1:50" x14ac:dyDescent="0.25">
      <c r="A201" t="s">
        <v>127</v>
      </c>
      <c r="B201" t="s">
        <v>315</v>
      </c>
      <c r="C201" t="s">
        <v>181</v>
      </c>
      <c r="E201" t="s">
        <v>335</v>
      </c>
      <c r="W201" s="4" t="str">
        <f t="shared" si="12"/>
        <v/>
      </c>
      <c r="AE201" t="str">
        <f>CONCATENATE(VLOOKUP(AF201, 'Voxel Sizes'!$A$2:$B$18,2,FALSE),"x",INT(AB201*15), "x", INT(AC201*15))</f>
        <v>0x0x0</v>
      </c>
      <c r="AF201">
        <f t="shared" si="13"/>
        <v>0</v>
      </c>
      <c r="AH201" t="str">
        <f>CONCATENATE(VLOOKUP(AF201,'Articulated Lengths'!$A$2:$C$16,IF(AG201&lt;&gt;"", 3, 2), FALSE),IF(AG201&lt;&gt;"",CONCATENATE(",",VLOOKUP(AG201,$B$2:$AH$219,33,FALSE)),""))</f>
        <v>na</v>
      </c>
      <c r="AO201">
        <v>10</v>
      </c>
      <c r="AP201">
        <v>10</v>
      </c>
      <c r="AU201" t="e">
        <f>VLOOKUP(F201,Eras!$A$2:$C$10, 2, TRUE)</f>
        <v>#N/A</v>
      </c>
      <c r="AW201" t="e">
        <f t="shared" si="14"/>
        <v>#N/A</v>
      </c>
    </row>
    <row r="202" spans="1:50" x14ac:dyDescent="0.25">
      <c r="A202" t="s">
        <v>128</v>
      </c>
      <c r="B202" t="s">
        <v>249</v>
      </c>
      <c r="C202" t="s">
        <v>181</v>
      </c>
      <c r="E202" t="s">
        <v>335</v>
      </c>
      <c r="W202" s="4" t="str">
        <f t="shared" si="12"/>
        <v/>
      </c>
      <c r="AE202" t="str">
        <f>CONCATENATE(VLOOKUP(AF202, 'Voxel Sizes'!$A$2:$B$18,2,FALSE),"x",INT(AB202*15), "x", INT(AC202*15))</f>
        <v>0x0x0</v>
      </c>
      <c r="AF202">
        <f t="shared" si="13"/>
        <v>0</v>
      </c>
      <c r="AH202" t="str">
        <f>CONCATENATE(VLOOKUP(AF202,'Articulated Lengths'!$A$2:$C$16,IF(AG202&lt;&gt;"", 3, 2), FALSE),IF(AG202&lt;&gt;"",CONCATENATE(",",VLOOKUP(AG202,$B$2:$AH$219,33,FALSE)),""))</f>
        <v>na</v>
      </c>
      <c r="AO202">
        <v>10</v>
      </c>
      <c r="AP202">
        <v>10</v>
      </c>
      <c r="AU202" t="e">
        <f>VLOOKUP(F202,Eras!$A$2:$C$10, 2, TRUE)</f>
        <v>#N/A</v>
      </c>
      <c r="AW202" t="e">
        <f t="shared" si="14"/>
        <v>#N/A</v>
      </c>
    </row>
    <row r="203" spans="1:50" x14ac:dyDescent="0.25">
      <c r="A203" t="s">
        <v>130</v>
      </c>
      <c r="B203" t="s">
        <v>250</v>
      </c>
      <c r="C203" t="s">
        <v>181</v>
      </c>
      <c r="E203" t="s">
        <v>335</v>
      </c>
      <c r="W203" s="4" t="str">
        <f t="shared" si="12"/>
        <v/>
      </c>
      <c r="AE203" t="str">
        <f>CONCATENATE(VLOOKUP(AF203, 'Voxel Sizes'!$A$2:$B$18,2,FALSE),"x",INT(AB203*15), "x", INT(AC203*15))</f>
        <v>0x0x0</v>
      </c>
      <c r="AF203">
        <f t="shared" si="13"/>
        <v>0</v>
      </c>
      <c r="AH203" t="str">
        <f>CONCATENATE(VLOOKUP(AF203,'Articulated Lengths'!$A$2:$C$16,IF(AG203&lt;&gt;"", 3, 2), FALSE),IF(AG203&lt;&gt;"",CONCATENATE(",",VLOOKUP(AG203,$B$2:$AH$219,33,FALSE)),""))</f>
        <v>na</v>
      </c>
      <c r="AO203">
        <v>10</v>
      </c>
      <c r="AP203">
        <v>10</v>
      </c>
      <c r="AU203" t="e">
        <f>VLOOKUP(F203,Eras!$A$2:$C$10, 2, TRUE)</f>
        <v>#N/A</v>
      </c>
      <c r="AW203" t="e">
        <f t="shared" si="14"/>
        <v>#N/A</v>
      </c>
    </row>
    <row r="204" spans="1:50" x14ac:dyDescent="0.25">
      <c r="A204" t="s">
        <v>135</v>
      </c>
      <c r="B204" t="s">
        <v>251</v>
      </c>
      <c r="C204" t="s">
        <v>342</v>
      </c>
      <c r="E204" t="s">
        <v>335</v>
      </c>
      <c r="F204">
        <v>1894</v>
      </c>
      <c r="H204">
        <v>1970</v>
      </c>
      <c r="S204">
        <v>20</v>
      </c>
      <c r="W204" s="4" t="str">
        <f t="shared" si="12"/>
        <v/>
      </c>
      <c r="X204">
        <v>70</v>
      </c>
      <c r="Z204">
        <v>7.3</v>
      </c>
      <c r="AA204">
        <v>11</v>
      </c>
      <c r="AD204" s="11">
        <v>0</v>
      </c>
      <c r="AE204" t="str">
        <f>CONCATENATE(VLOOKUP(AF204, 'Voxel Sizes'!$A$2:$B$18,2,FALSE),"x",INT(AB204*15), "x", INT(AC204*15))</f>
        <v>102x0x0</v>
      </c>
      <c r="AF204">
        <f t="shared" si="13"/>
        <v>6</v>
      </c>
      <c r="AH204" t="str">
        <f>CONCATENATE(VLOOKUP(AF204,'Articulated Lengths'!$A$2:$C$16,IF(AG204&lt;&gt;"", 3, 2), FALSE),IF(AG204&lt;&gt;"",CONCATENATE(",",VLOOKUP(AG204,$B$2:$AH$219,33,FALSE)),""))</f>
        <v>2,2,2</v>
      </c>
      <c r="AO204">
        <v>10</v>
      </c>
      <c r="AP204">
        <v>10</v>
      </c>
      <c r="AT204" t="s">
        <v>797</v>
      </c>
      <c r="AU204" t="str">
        <f>VLOOKUP(F204,Eras!$A$2:$C$10, 2, TRUE)</f>
        <v>vct</v>
      </c>
      <c r="AV204" t="s">
        <v>795</v>
      </c>
      <c r="AW204" t="str">
        <f t="shared" si="14"/>
        <v>vct_Extra</v>
      </c>
      <c r="AX204" t="s">
        <v>796</v>
      </c>
    </row>
    <row r="205" spans="1:50" x14ac:dyDescent="0.25">
      <c r="A205" t="s">
        <v>136</v>
      </c>
      <c r="B205" t="s">
        <v>252</v>
      </c>
      <c r="C205" t="s">
        <v>181</v>
      </c>
      <c r="E205" t="s">
        <v>335</v>
      </c>
      <c r="W205" s="4" t="str">
        <f t="shared" si="12"/>
        <v/>
      </c>
      <c r="AE205" t="str">
        <f>CONCATENATE(VLOOKUP(AF205, 'Voxel Sizes'!$A$2:$B$18,2,FALSE),"x",INT(AB205*15), "x", INT(AC205*15))</f>
        <v>0x0x0</v>
      </c>
      <c r="AF205">
        <f t="shared" si="13"/>
        <v>0</v>
      </c>
      <c r="AH205" t="str">
        <f>CONCATENATE(VLOOKUP(AF205,'Articulated Lengths'!$A$2:$C$16,IF(AG205&lt;&gt;"", 3, 2), FALSE),IF(AG205&lt;&gt;"",CONCATENATE(",",VLOOKUP(AG205,$B$2:$AH$219,33,FALSE)),""))</f>
        <v>na</v>
      </c>
      <c r="AO205">
        <v>10</v>
      </c>
      <c r="AP205">
        <v>10</v>
      </c>
      <c r="AU205" t="e">
        <f>VLOOKUP(F205,Eras!$A$2:$C$10, 2, TRUE)</f>
        <v>#N/A</v>
      </c>
      <c r="AW205" t="e">
        <f t="shared" si="14"/>
        <v>#N/A</v>
      </c>
    </row>
    <row r="206" spans="1:50" x14ac:dyDescent="0.25">
      <c r="A206" t="s">
        <v>137</v>
      </c>
      <c r="B206" t="s">
        <v>253</v>
      </c>
      <c r="C206" t="s">
        <v>181</v>
      </c>
      <c r="E206" t="s">
        <v>335</v>
      </c>
      <c r="W206" s="4" t="str">
        <f t="shared" si="12"/>
        <v/>
      </c>
      <c r="AE206" t="str">
        <f>CONCATENATE(VLOOKUP(AF206, 'Voxel Sizes'!$A$2:$B$18,2,FALSE),"x",INT(AB206*15), "x", INT(AC206*15))</f>
        <v>0x0x0</v>
      </c>
      <c r="AF206">
        <f t="shared" si="13"/>
        <v>0</v>
      </c>
      <c r="AH206" t="str">
        <f>CONCATENATE(VLOOKUP(AF206,'Articulated Lengths'!$A$2:$C$16,IF(AG206&lt;&gt;"", 3, 2), FALSE),IF(AG206&lt;&gt;"",CONCATENATE(",",VLOOKUP(AG206,$B$2:$AH$219,33,FALSE)),""))</f>
        <v>na</v>
      </c>
      <c r="AO206">
        <v>10</v>
      </c>
      <c r="AP206">
        <v>10</v>
      </c>
      <c r="AU206" t="e">
        <f>VLOOKUP(F206,Eras!$A$2:$C$10, 2, TRUE)</f>
        <v>#N/A</v>
      </c>
      <c r="AW206" t="e">
        <f t="shared" si="14"/>
        <v>#N/A</v>
      </c>
    </row>
    <row r="207" spans="1:50" x14ac:dyDescent="0.25">
      <c r="A207" t="s">
        <v>140</v>
      </c>
      <c r="B207" t="s">
        <v>254</v>
      </c>
      <c r="C207" t="s">
        <v>181</v>
      </c>
      <c r="E207" t="s">
        <v>335</v>
      </c>
      <c r="W207" s="4" t="str">
        <f t="shared" si="12"/>
        <v/>
      </c>
      <c r="AE207" t="str">
        <f>CONCATENATE(VLOOKUP(AF207, 'Voxel Sizes'!$A$2:$B$18,2,FALSE),"x",INT(AB207*15), "x", INT(AC207*15))</f>
        <v>0x0x0</v>
      </c>
      <c r="AF207">
        <f t="shared" si="13"/>
        <v>0</v>
      </c>
      <c r="AH207" t="str">
        <f>CONCATENATE(VLOOKUP(AF207,'Articulated Lengths'!$A$2:$C$16,IF(AG207&lt;&gt;"", 3, 2), FALSE),IF(AG207&lt;&gt;"",CONCATENATE(",",VLOOKUP(AG207,$B$2:$AH$219,33,FALSE)),""))</f>
        <v>na</v>
      </c>
      <c r="AO207">
        <v>10</v>
      </c>
      <c r="AP207">
        <v>10</v>
      </c>
      <c r="AU207" t="e">
        <f>VLOOKUP(F207,Eras!$A$2:$C$10, 2, TRUE)</f>
        <v>#N/A</v>
      </c>
      <c r="AW207" t="e">
        <f t="shared" si="14"/>
        <v>#N/A</v>
      </c>
    </row>
    <row r="208" spans="1:50" x14ac:dyDescent="0.25">
      <c r="A208" t="s">
        <v>141</v>
      </c>
      <c r="B208" t="s">
        <v>255</v>
      </c>
      <c r="C208" t="s">
        <v>181</v>
      </c>
      <c r="E208" t="s">
        <v>335</v>
      </c>
      <c r="W208" s="4" t="str">
        <f t="shared" si="12"/>
        <v/>
      </c>
      <c r="AE208" t="str">
        <f>CONCATENATE(VLOOKUP(AF208, 'Voxel Sizes'!$A$2:$B$18,2,FALSE),"x",INT(AB208*15), "x", INT(AC208*15))</f>
        <v>0x0x0</v>
      </c>
      <c r="AF208">
        <f t="shared" si="13"/>
        <v>0</v>
      </c>
      <c r="AH208" t="str">
        <f>CONCATENATE(VLOOKUP(AF208,'Articulated Lengths'!$A$2:$C$16,IF(AG208&lt;&gt;"", 3, 2), FALSE),IF(AG208&lt;&gt;"",CONCATENATE(",",VLOOKUP(AG208,$B$2:$AH$219,33,FALSE)),""))</f>
        <v>na</v>
      </c>
      <c r="AO208">
        <v>10</v>
      </c>
      <c r="AP208">
        <v>10</v>
      </c>
      <c r="AU208" t="e">
        <f>VLOOKUP(F208,Eras!$A$2:$C$10, 2, TRUE)</f>
        <v>#N/A</v>
      </c>
      <c r="AW208" t="e">
        <f t="shared" si="14"/>
        <v>#N/A</v>
      </c>
    </row>
    <row r="209" spans="1:49" x14ac:dyDescent="0.25">
      <c r="A209" t="s">
        <v>144</v>
      </c>
      <c r="B209" t="s">
        <v>256</v>
      </c>
      <c r="C209" t="s">
        <v>181</v>
      </c>
      <c r="E209" t="s">
        <v>335</v>
      </c>
      <c r="W209" s="4" t="str">
        <f t="shared" si="12"/>
        <v/>
      </c>
      <c r="AE209" t="str">
        <f>CONCATENATE(VLOOKUP(AF209, 'Voxel Sizes'!$A$2:$B$18,2,FALSE),"x",INT(AB209*15), "x", INT(AC209*15))</f>
        <v>0x0x0</v>
      </c>
      <c r="AF209">
        <f t="shared" si="13"/>
        <v>0</v>
      </c>
      <c r="AH209" t="str">
        <f>CONCATENATE(VLOOKUP(AF209,'Articulated Lengths'!$A$2:$C$16,IF(AG209&lt;&gt;"", 3, 2), FALSE),IF(AG209&lt;&gt;"",CONCATENATE(",",VLOOKUP(AG209,$B$2:$AH$219,33,FALSE)),""))</f>
        <v>na</v>
      </c>
      <c r="AO209">
        <v>10</v>
      </c>
      <c r="AP209">
        <v>10</v>
      </c>
      <c r="AU209" t="e">
        <f>VLOOKUP(F209,Eras!$A$2:$C$10, 2, TRUE)</f>
        <v>#N/A</v>
      </c>
      <c r="AW209" t="e">
        <f t="shared" si="14"/>
        <v>#N/A</v>
      </c>
    </row>
    <row r="210" spans="1:49" x14ac:dyDescent="0.25">
      <c r="A210" t="s">
        <v>145</v>
      </c>
      <c r="B210" t="s">
        <v>257</v>
      </c>
      <c r="C210" t="s">
        <v>181</v>
      </c>
      <c r="E210" t="s">
        <v>335</v>
      </c>
      <c r="W210" s="4" t="str">
        <f t="shared" si="12"/>
        <v/>
      </c>
      <c r="AE210" t="str">
        <f>CONCATENATE(VLOOKUP(AF210, 'Voxel Sizes'!$A$2:$B$18,2,FALSE),"x",INT(AB210*15), "x", INT(AC210*15))</f>
        <v>0x0x0</v>
      </c>
      <c r="AF210">
        <f t="shared" si="13"/>
        <v>0</v>
      </c>
      <c r="AH210" t="str">
        <f>CONCATENATE(VLOOKUP(AF210,'Articulated Lengths'!$A$2:$C$16,IF(AG210&lt;&gt;"", 3, 2), FALSE),IF(AG210&lt;&gt;"",CONCATENATE(",",VLOOKUP(AG210,$B$2:$AH$219,33,FALSE)),""))</f>
        <v>na</v>
      </c>
      <c r="AO210">
        <v>10</v>
      </c>
      <c r="AP210">
        <v>10</v>
      </c>
      <c r="AU210" t="e">
        <f>VLOOKUP(F210,Eras!$A$2:$C$10, 2, TRUE)</f>
        <v>#N/A</v>
      </c>
      <c r="AW210" t="e">
        <f t="shared" si="14"/>
        <v>#N/A</v>
      </c>
    </row>
    <row r="211" spans="1:49" x14ac:dyDescent="0.25">
      <c r="A211" t="s">
        <v>146</v>
      </c>
      <c r="B211" t="s">
        <v>258</v>
      </c>
      <c r="C211" t="s">
        <v>181</v>
      </c>
      <c r="E211" t="s">
        <v>335</v>
      </c>
      <c r="W211" s="4" t="str">
        <f t="shared" si="12"/>
        <v/>
      </c>
      <c r="AE211" t="str">
        <f>CONCATENATE(VLOOKUP(AF211, 'Voxel Sizes'!$A$2:$B$18,2,FALSE),"x",INT(AB211*15), "x", INT(AC211*15))</f>
        <v>0x0x0</v>
      </c>
      <c r="AF211">
        <f t="shared" si="13"/>
        <v>0</v>
      </c>
      <c r="AH211" t="str">
        <f>CONCATENATE(VLOOKUP(AF211,'Articulated Lengths'!$A$2:$C$16,IF(AG211&lt;&gt;"", 3, 2), FALSE),IF(AG211&lt;&gt;"",CONCATENATE(",",VLOOKUP(AG211,$B$2:$AH$219,33,FALSE)),""))</f>
        <v>na</v>
      </c>
      <c r="AO211">
        <v>10</v>
      </c>
      <c r="AP211">
        <v>10</v>
      </c>
      <c r="AU211" t="e">
        <f>VLOOKUP(F211,Eras!$A$2:$C$10, 2, TRUE)</f>
        <v>#N/A</v>
      </c>
      <c r="AW211" t="e">
        <f t="shared" si="14"/>
        <v>#N/A</v>
      </c>
    </row>
    <row r="212" spans="1:49" x14ac:dyDescent="0.25">
      <c r="A212" t="s">
        <v>147</v>
      </c>
      <c r="B212" t="s">
        <v>259</v>
      </c>
      <c r="C212" t="s">
        <v>181</v>
      </c>
      <c r="E212" t="s">
        <v>335</v>
      </c>
      <c r="W212" s="4" t="str">
        <f t="shared" si="12"/>
        <v/>
      </c>
      <c r="AE212" t="str">
        <f>CONCATENATE(VLOOKUP(AF212, 'Voxel Sizes'!$A$2:$B$18,2,FALSE),"x",INT(AB212*15), "x", INT(AC212*15))</f>
        <v>0x0x0</v>
      </c>
      <c r="AF212">
        <f t="shared" si="13"/>
        <v>0</v>
      </c>
      <c r="AH212" t="str">
        <f>CONCATENATE(VLOOKUP(AF212,'Articulated Lengths'!$A$2:$C$16,IF(AG212&lt;&gt;"", 3, 2), FALSE),IF(AG212&lt;&gt;"",CONCATENATE(",",VLOOKUP(AG212,$B$2:$AH$219,33,FALSE)),""))</f>
        <v>na</v>
      </c>
      <c r="AO212">
        <v>10</v>
      </c>
      <c r="AP212">
        <v>10</v>
      </c>
      <c r="AU212" t="e">
        <f>VLOOKUP(F212,Eras!$A$2:$C$10, 2, TRUE)</f>
        <v>#N/A</v>
      </c>
      <c r="AW212" t="e">
        <f t="shared" si="14"/>
        <v>#N/A</v>
      </c>
    </row>
    <row r="213" spans="1:49" x14ac:dyDescent="0.25">
      <c r="A213" t="s">
        <v>148</v>
      </c>
      <c r="B213" t="s">
        <v>260</v>
      </c>
      <c r="C213" t="s">
        <v>181</v>
      </c>
      <c r="E213" t="s">
        <v>335</v>
      </c>
      <c r="W213" s="4" t="str">
        <f t="shared" si="12"/>
        <v/>
      </c>
      <c r="AE213" t="str">
        <f>CONCATENATE(VLOOKUP(AF213, 'Voxel Sizes'!$A$2:$B$18,2,FALSE),"x",INT(AB213*15), "x", INT(AC213*15))</f>
        <v>0x0x0</v>
      </c>
      <c r="AF213">
        <f t="shared" si="13"/>
        <v>0</v>
      </c>
      <c r="AH213" t="str">
        <f>CONCATENATE(VLOOKUP(AF213,'Articulated Lengths'!$A$2:$C$16,IF(AG213&lt;&gt;"", 3, 2), FALSE),IF(AG213&lt;&gt;"",CONCATENATE(",",VLOOKUP(AG213,$B$2:$AH$219,33,FALSE)),""))</f>
        <v>na</v>
      </c>
      <c r="AO213">
        <v>10</v>
      </c>
      <c r="AP213">
        <v>10</v>
      </c>
      <c r="AU213" t="e">
        <f>VLOOKUP(F213,Eras!$A$2:$C$10, 2, TRUE)</f>
        <v>#N/A</v>
      </c>
      <c r="AW213" t="e">
        <f t="shared" si="14"/>
        <v>#N/A</v>
      </c>
    </row>
    <row r="214" spans="1:49" x14ac:dyDescent="0.25">
      <c r="A214" t="s">
        <v>149</v>
      </c>
      <c r="B214" t="s">
        <v>261</v>
      </c>
      <c r="C214" t="s">
        <v>181</v>
      </c>
      <c r="E214" t="s">
        <v>335</v>
      </c>
      <c r="W214" s="4" t="str">
        <f t="shared" si="12"/>
        <v/>
      </c>
      <c r="AE214" t="str">
        <f>CONCATENATE(VLOOKUP(AF214, 'Voxel Sizes'!$A$2:$B$18,2,FALSE),"x",INT(AB214*15), "x", INT(AC214*15))</f>
        <v>0x0x0</v>
      </c>
      <c r="AF214">
        <f t="shared" si="13"/>
        <v>0</v>
      </c>
      <c r="AH214" t="str">
        <f>CONCATENATE(VLOOKUP(AF214,'Articulated Lengths'!$A$2:$C$16,IF(AG214&lt;&gt;"", 3, 2), FALSE),IF(AG214&lt;&gt;"",CONCATENATE(",",VLOOKUP(AG214,$B$2:$AH$219,33,FALSE)),""))</f>
        <v>na</v>
      </c>
      <c r="AO214">
        <v>10</v>
      </c>
      <c r="AP214">
        <v>10</v>
      </c>
      <c r="AU214" t="e">
        <f>VLOOKUP(F214,Eras!$A$2:$C$10, 2, TRUE)</f>
        <v>#N/A</v>
      </c>
      <c r="AW214" t="e">
        <f t="shared" si="14"/>
        <v>#N/A</v>
      </c>
    </row>
    <row r="215" spans="1:49" x14ac:dyDescent="0.25">
      <c r="A215" t="s">
        <v>150</v>
      </c>
      <c r="B215" t="s">
        <v>262</v>
      </c>
      <c r="C215" t="s">
        <v>181</v>
      </c>
      <c r="E215" t="s">
        <v>335</v>
      </c>
      <c r="W215" s="4" t="str">
        <f t="shared" si="12"/>
        <v/>
      </c>
      <c r="AE215" t="str">
        <f>CONCATENATE(VLOOKUP(AF215, 'Voxel Sizes'!$A$2:$B$18,2,FALSE),"x",INT(AB215*15), "x", INT(AC215*15))</f>
        <v>0x0x0</v>
      </c>
      <c r="AF215">
        <f t="shared" si="13"/>
        <v>0</v>
      </c>
      <c r="AH215" t="str">
        <f>CONCATENATE(VLOOKUP(AF215,'Articulated Lengths'!$A$2:$C$16,IF(AG215&lt;&gt;"", 3, 2), FALSE),IF(AG215&lt;&gt;"",CONCATENATE(",",VLOOKUP(AG215,$B$2:$AH$219,33,FALSE)),""))</f>
        <v>na</v>
      </c>
      <c r="AO215">
        <v>10</v>
      </c>
      <c r="AP215">
        <v>10</v>
      </c>
      <c r="AU215" t="e">
        <f>VLOOKUP(F215,Eras!$A$2:$C$10, 2, TRUE)</f>
        <v>#N/A</v>
      </c>
      <c r="AW215" t="e">
        <f t="shared" si="14"/>
        <v>#N/A</v>
      </c>
    </row>
    <row r="216" spans="1:49" x14ac:dyDescent="0.25">
      <c r="A216" t="s">
        <v>151</v>
      </c>
      <c r="B216" t="s">
        <v>263</v>
      </c>
      <c r="C216" t="s">
        <v>181</v>
      </c>
      <c r="E216" t="s">
        <v>335</v>
      </c>
      <c r="W216" s="4" t="str">
        <f t="shared" si="12"/>
        <v/>
      </c>
      <c r="AE216" t="str">
        <f>CONCATENATE(VLOOKUP(AF216, 'Voxel Sizes'!$A$2:$B$18,2,FALSE),"x",INT(AB216*15), "x", INT(AC216*15))</f>
        <v>0x0x0</v>
      </c>
      <c r="AF216">
        <f t="shared" si="13"/>
        <v>0</v>
      </c>
      <c r="AH216" t="str">
        <f>CONCATENATE(VLOOKUP(AF216,'Articulated Lengths'!$A$2:$C$16,IF(AG216&lt;&gt;"", 3, 2), FALSE),IF(AG216&lt;&gt;"",CONCATENATE(",",VLOOKUP(AG216,$B$2:$AH$219,33,FALSE)),""))</f>
        <v>na</v>
      </c>
      <c r="AO216">
        <v>10</v>
      </c>
      <c r="AP216">
        <v>10</v>
      </c>
      <c r="AU216" t="e">
        <f>VLOOKUP(F216,Eras!$A$2:$C$10, 2, TRUE)</f>
        <v>#N/A</v>
      </c>
      <c r="AW216" t="e">
        <f t="shared" si="14"/>
        <v>#N/A</v>
      </c>
    </row>
    <row r="217" spans="1:49" x14ac:dyDescent="0.25">
      <c r="A217" t="s">
        <v>152</v>
      </c>
      <c r="B217" t="s">
        <v>264</v>
      </c>
      <c r="C217" t="s">
        <v>181</v>
      </c>
      <c r="E217" t="s">
        <v>335</v>
      </c>
      <c r="W217" s="4" t="str">
        <f t="shared" si="12"/>
        <v/>
      </c>
      <c r="AE217" t="str">
        <f>CONCATENATE(VLOOKUP(AF217, 'Voxel Sizes'!$A$2:$B$18,2,FALSE),"x",INT(AB217*15), "x", INT(AC217*15))</f>
        <v>0x0x0</v>
      </c>
      <c r="AF217">
        <f t="shared" si="13"/>
        <v>0</v>
      </c>
      <c r="AH217" t="str">
        <f>CONCATENATE(VLOOKUP(AF217,'Articulated Lengths'!$A$2:$C$16,IF(AG217&lt;&gt;"", 3, 2), FALSE),IF(AG217&lt;&gt;"",CONCATENATE(",",VLOOKUP(AG217,$B$2:$AH$219,33,FALSE)),""))</f>
        <v>na</v>
      </c>
      <c r="AO217">
        <v>10</v>
      </c>
      <c r="AP217">
        <v>10</v>
      </c>
      <c r="AU217" t="e">
        <f>VLOOKUP(F217,Eras!$A$2:$C$10, 2, TRUE)</f>
        <v>#N/A</v>
      </c>
      <c r="AW217" t="e">
        <f t="shared" si="14"/>
        <v>#N/A</v>
      </c>
    </row>
    <row r="218" spans="1:49" x14ac:dyDescent="0.25">
      <c r="A218" t="s">
        <v>153</v>
      </c>
      <c r="B218" t="s">
        <v>265</v>
      </c>
      <c r="C218" t="s">
        <v>181</v>
      </c>
      <c r="E218" t="s">
        <v>335</v>
      </c>
      <c r="W218" s="4" t="str">
        <f t="shared" si="12"/>
        <v/>
      </c>
      <c r="AE218" t="str">
        <f>CONCATENATE(VLOOKUP(AF218, 'Voxel Sizes'!$A$2:$B$18,2,FALSE),"x",INT(AB218*15), "x", INT(AC218*15))</f>
        <v>0x0x0</v>
      </c>
      <c r="AF218">
        <f t="shared" si="13"/>
        <v>0</v>
      </c>
      <c r="AH218" t="str">
        <f>CONCATENATE(VLOOKUP(AF218,'Articulated Lengths'!$A$2:$C$16,IF(AG218&lt;&gt;"", 3, 2), FALSE),IF(AG218&lt;&gt;"",CONCATENATE(",",VLOOKUP(AG218,$B$2:$AH$219,33,FALSE)),""))</f>
        <v>na</v>
      </c>
      <c r="AO218">
        <v>10</v>
      </c>
      <c r="AP218">
        <v>10</v>
      </c>
      <c r="AU218" t="e">
        <f>VLOOKUP(F218,Eras!$A$2:$C$10, 2, TRUE)</f>
        <v>#N/A</v>
      </c>
      <c r="AW218" t="e">
        <f t="shared" si="14"/>
        <v>#N/A</v>
      </c>
    </row>
    <row r="219" spans="1:49" x14ac:dyDescent="0.25">
      <c r="A219" t="s">
        <v>154</v>
      </c>
      <c r="B219" t="s">
        <v>266</v>
      </c>
      <c r="C219" t="s">
        <v>181</v>
      </c>
      <c r="E219" t="s">
        <v>335</v>
      </c>
      <c r="W219" s="4" t="str">
        <f t="shared" si="12"/>
        <v/>
      </c>
      <c r="AE219" t="str">
        <f>CONCATENATE(VLOOKUP(AF219, 'Voxel Sizes'!$A$2:$B$18,2,FALSE),"x",INT(AB219*15), "x", INT(AC219*15))</f>
        <v>0x0x0</v>
      </c>
      <c r="AF219">
        <f t="shared" si="13"/>
        <v>0</v>
      </c>
      <c r="AH219" t="str">
        <f>CONCATENATE(VLOOKUP(AF219,'Articulated Lengths'!$A$2:$C$16,IF(AG219&lt;&gt;"", 3, 2), FALSE),IF(AG219&lt;&gt;"",CONCATENATE(",",VLOOKUP(AG219,$B$2:$AH$219,33,FALSE)),""))</f>
        <v>na</v>
      </c>
      <c r="AO219">
        <v>10</v>
      </c>
      <c r="AP219">
        <v>10</v>
      </c>
      <c r="AU219" t="e">
        <f>VLOOKUP(F219,Eras!$A$2:$C$10, 2, TRUE)</f>
        <v>#N/A</v>
      </c>
      <c r="AW219" t="e">
        <f t="shared" si="14"/>
        <v>#N/A</v>
      </c>
    </row>
    <row r="220" spans="1:49" x14ac:dyDescent="0.25">
      <c r="A220" t="s">
        <v>449</v>
      </c>
      <c r="B220" t="s">
        <v>455</v>
      </c>
      <c r="C220" t="s">
        <v>181</v>
      </c>
      <c r="W220" s="4" t="str">
        <f t="shared" si="12"/>
        <v/>
      </c>
      <c r="AE220" t="str">
        <f>CONCATENATE(VLOOKUP(AF220, 'Voxel Sizes'!$A$2:$B$18,2,FALSE),"x",INT(AB220*15), "x", INT(AC220*15))</f>
        <v>0x0x0</v>
      </c>
      <c r="AF220">
        <f t="shared" si="13"/>
        <v>0</v>
      </c>
      <c r="AH220" t="str">
        <f>CONCATENATE(VLOOKUP(AF220,'Articulated Lengths'!$A$2:$C$16,IF(AG220&lt;&gt;"", 3, 2), FALSE),IF(AG220&lt;&gt;"",CONCATENATE(",",VLOOKUP(AG220,$B$2:$AH$219,33,FALSE)),""))</f>
        <v>na</v>
      </c>
      <c r="AO220">
        <v>10</v>
      </c>
      <c r="AP220">
        <v>10</v>
      </c>
      <c r="AU220" t="e">
        <f>VLOOKUP(F220,Eras!$A$2:$C$10, 2, TRUE)</f>
        <v>#N/A</v>
      </c>
      <c r="AW220" t="e">
        <f t="shared" si="14"/>
        <v>#N/A</v>
      </c>
    </row>
    <row r="221" spans="1:49" x14ac:dyDescent="0.25">
      <c r="A221" t="s">
        <v>450</v>
      </c>
      <c r="B221" t="s">
        <v>456</v>
      </c>
      <c r="C221" t="s">
        <v>181</v>
      </c>
      <c r="W221" s="4" t="str">
        <f t="shared" si="12"/>
        <v/>
      </c>
      <c r="AE221" t="str">
        <f>CONCATENATE(VLOOKUP(AF221, 'Voxel Sizes'!$A$2:$B$18,2,FALSE),"x",INT(AB221*15), "x", INT(AC221*15))</f>
        <v>0x0x0</v>
      </c>
      <c r="AF221">
        <f t="shared" si="13"/>
        <v>0</v>
      </c>
      <c r="AH221" t="str">
        <f>CONCATENATE(VLOOKUP(AF221,'Articulated Lengths'!$A$2:$C$16,IF(AG221&lt;&gt;"", 3, 2), FALSE),IF(AG221&lt;&gt;"",CONCATENATE(",",VLOOKUP(AG221,$B$2:$AH$219,33,FALSE)),""))</f>
        <v>na</v>
      </c>
      <c r="AO221">
        <v>10</v>
      </c>
      <c r="AP221">
        <v>10</v>
      </c>
      <c r="AU221" t="e">
        <f>VLOOKUP(F221,Eras!$A$2:$C$10, 2, TRUE)</f>
        <v>#N/A</v>
      </c>
      <c r="AW221" t="e">
        <f t="shared" si="14"/>
        <v>#N/A</v>
      </c>
    </row>
    <row r="222" spans="1:49" x14ac:dyDescent="0.25">
      <c r="A222" t="s">
        <v>451</v>
      </c>
      <c r="B222" t="s">
        <v>457</v>
      </c>
      <c r="C222" t="s">
        <v>181</v>
      </c>
      <c r="W222" s="4" t="str">
        <f t="shared" si="12"/>
        <v/>
      </c>
      <c r="AE222" t="str">
        <f>CONCATENATE(VLOOKUP(AF222, 'Voxel Sizes'!$A$2:$B$18,2,FALSE),"x",INT(AB222*15), "x", INT(AC222*15))</f>
        <v>0x0x0</v>
      </c>
      <c r="AF222">
        <f t="shared" si="13"/>
        <v>0</v>
      </c>
      <c r="AH222" t="str">
        <f>CONCATENATE(VLOOKUP(AF222,'Articulated Lengths'!$A$2:$C$16,IF(AG222&lt;&gt;"", 3, 2), FALSE),IF(AG222&lt;&gt;"",CONCATENATE(",",VLOOKUP(AG222,$B$2:$AH$219,33,FALSE)),""))</f>
        <v>na</v>
      </c>
      <c r="AO222">
        <v>10</v>
      </c>
      <c r="AP222">
        <v>10</v>
      </c>
      <c r="AU222" t="e">
        <f>VLOOKUP(F222,Eras!$A$2:$C$10, 2, TRUE)</f>
        <v>#N/A</v>
      </c>
      <c r="AW222" t="e">
        <f t="shared" si="14"/>
        <v>#N/A</v>
      </c>
    </row>
    <row r="223" spans="1:49" x14ac:dyDescent="0.25">
      <c r="A223" t="s">
        <v>452</v>
      </c>
      <c r="B223" t="s">
        <v>458</v>
      </c>
      <c r="C223" t="s">
        <v>181</v>
      </c>
      <c r="W223" s="4" t="str">
        <f t="shared" si="12"/>
        <v/>
      </c>
      <c r="AE223" t="str">
        <f>CONCATENATE(VLOOKUP(AF223, 'Voxel Sizes'!$A$2:$B$18,2,FALSE),"x",INT(AB223*15), "x", INT(AC223*15))</f>
        <v>0x0x0</v>
      </c>
      <c r="AF223">
        <f t="shared" si="13"/>
        <v>0</v>
      </c>
      <c r="AH223" t="str">
        <f>CONCATENATE(VLOOKUP(AF223,'Articulated Lengths'!$A$2:$C$16,IF(AG223&lt;&gt;"", 3, 2), FALSE),IF(AG223&lt;&gt;"",CONCATENATE(",",VLOOKUP(AG223,$B$2:$AH$219,33,FALSE)),""))</f>
        <v>na</v>
      </c>
      <c r="AO223">
        <v>10</v>
      </c>
      <c r="AP223">
        <v>10</v>
      </c>
      <c r="AU223" t="e">
        <f>VLOOKUP(F223,Eras!$A$2:$C$10, 2, TRUE)</f>
        <v>#N/A</v>
      </c>
      <c r="AW223" t="e">
        <f t="shared" si="14"/>
        <v>#N/A</v>
      </c>
    </row>
    <row r="224" spans="1:49" x14ac:dyDescent="0.25">
      <c r="A224" t="s">
        <v>756</v>
      </c>
      <c r="B224" t="s">
        <v>759</v>
      </c>
      <c r="C224" t="s">
        <v>181</v>
      </c>
      <c r="AE224" t="str">
        <f>CONCATENATE(VLOOKUP(AF224, 'Voxel Sizes'!$A$2:$B$18,2,FALSE),"x",INT(AB224*15), "x", INT(AC224*15))</f>
        <v>0x0x0</v>
      </c>
      <c r="AF224">
        <f t="shared" si="13"/>
        <v>0</v>
      </c>
      <c r="AH224" t="str">
        <f>CONCATENATE(VLOOKUP(AF224,'Articulated Lengths'!$A$2:$C$16,IF(AG224&lt;&gt;"", 3, 2), FALSE),IF(AG224&lt;&gt;"",CONCATENATE(",",VLOOKUP(AG224,$B$2:$AH$219,33,FALSE)),""))</f>
        <v>na</v>
      </c>
      <c r="AO224">
        <v>10</v>
      </c>
      <c r="AP224">
        <v>10</v>
      </c>
      <c r="AU224" t="e">
        <f>VLOOKUP(F224,Eras!$A$2:$C$10, 2, TRUE)</f>
        <v>#N/A</v>
      </c>
      <c r="AW224" t="e">
        <f t="shared" si="14"/>
        <v>#N/A</v>
      </c>
    </row>
    <row r="225" spans="1:50" x14ac:dyDescent="0.25">
      <c r="A225" t="s">
        <v>771</v>
      </c>
      <c r="B225" t="s">
        <v>772</v>
      </c>
      <c r="C225" t="s">
        <v>181</v>
      </c>
      <c r="D225" t="s">
        <v>357</v>
      </c>
      <c r="E225" t="s">
        <v>365</v>
      </c>
      <c r="F225">
        <v>1893</v>
      </c>
      <c r="G225">
        <v>1896</v>
      </c>
      <c r="H225">
        <v>1956</v>
      </c>
      <c r="I225">
        <v>2</v>
      </c>
      <c r="J225">
        <v>120</v>
      </c>
      <c r="S225">
        <v>10</v>
      </c>
      <c r="U225">
        <v>7</v>
      </c>
      <c r="V225">
        <v>30</v>
      </c>
      <c r="W225" s="4">
        <f t="shared" ref="W225" si="15">IF(AND(S225&gt;0,V225&gt;0),(V225/((S225+T225)*10)),"")</f>
        <v>0.3</v>
      </c>
      <c r="X225">
        <v>35</v>
      </c>
      <c r="Z225">
        <v>14</v>
      </c>
      <c r="AA225">
        <v>14</v>
      </c>
      <c r="AB225">
        <v>2.59</v>
      </c>
      <c r="AD225" s="11">
        <f>41+16</f>
        <v>57</v>
      </c>
      <c r="AE225" t="str">
        <f>CONCATENATE(VLOOKUP(AF225, 'Voxel Sizes'!$A$2:$B$18,2,FALSE),"x",INT(AB225*15), "x", INT(AC225*15))</f>
        <v>136x38x0</v>
      </c>
      <c r="AF225">
        <f t="shared" si="13"/>
        <v>8</v>
      </c>
      <c r="AH225" t="str">
        <f>CONCATENATE(VLOOKUP(AF225,'Articulated Lengths'!$A$2:$C$16,IF(AG225&lt;&gt;"", 3, 2), FALSE),IF(AG225&lt;&gt;"",CONCATENATE(",",VLOOKUP(AG225,$B$2:$AH$219,33,FALSE)),""))</f>
        <v>2,2,4</v>
      </c>
      <c r="AJ225" t="s">
        <v>773</v>
      </c>
      <c r="AL225" t="s">
        <v>540</v>
      </c>
      <c r="AO225">
        <v>10</v>
      </c>
      <c r="AP225">
        <v>10</v>
      </c>
      <c r="AT225" t="s">
        <v>344</v>
      </c>
      <c r="AU225" t="str">
        <f>VLOOKUP(F225,Eras!$A$2:$C$10, 2, TRUE)</f>
        <v>vct</v>
      </c>
      <c r="AV225" t="s">
        <v>395</v>
      </c>
      <c r="AW225" t="str">
        <f t="shared" si="14"/>
        <v>vct_EMU</v>
      </c>
      <c r="AX225" t="s">
        <v>774</v>
      </c>
    </row>
  </sheetData>
  <autoFilter ref="A1:AX223" xr:uid="{CF2E8555-48EE-4386-A1B1-369F6A2E644F}"/>
  <sortState xmlns:xlrd2="http://schemas.microsoft.com/office/spreadsheetml/2017/richdata2" ref="A2:AX224">
    <sortCondition ref="F17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AV1:AV1048576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F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439</v>
      </c>
      <c r="D1" s="1" t="s">
        <v>389</v>
      </c>
      <c r="E1" s="1" t="s">
        <v>388</v>
      </c>
      <c r="F1" s="1" t="s">
        <v>390</v>
      </c>
      <c r="G1" s="1" t="s">
        <v>391</v>
      </c>
      <c r="H1" s="1" t="s">
        <v>399</v>
      </c>
      <c r="I1" s="1" t="s">
        <v>400</v>
      </c>
      <c r="J1" s="1" t="s">
        <v>401</v>
      </c>
      <c r="K1" s="1" t="s">
        <v>392</v>
      </c>
      <c r="L1" s="1" t="s">
        <v>393</v>
      </c>
      <c r="M1" s="1" t="s">
        <v>394</v>
      </c>
      <c r="N1" s="1" t="s">
        <v>395</v>
      </c>
      <c r="O1" s="1" t="s">
        <v>396</v>
      </c>
      <c r="P1" s="1" t="s">
        <v>407</v>
      </c>
      <c r="Q1" s="1" t="s">
        <v>397</v>
      </c>
      <c r="R1" s="1" t="s">
        <v>398</v>
      </c>
      <c r="S1" s="1" t="s">
        <v>402</v>
      </c>
      <c r="T1" s="1" t="s">
        <v>403</v>
      </c>
      <c r="U1" s="1" t="s">
        <v>404</v>
      </c>
      <c r="V1" s="1" t="s">
        <v>405</v>
      </c>
      <c r="W1" s="1" t="s">
        <v>795</v>
      </c>
    </row>
    <row r="2" spans="1:23" x14ac:dyDescent="0.25">
      <c r="A2" s="1" t="s">
        <v>386</v>
      </c>
      <c r="B2" s="1" t="s">
        <v>387</v>
      </c>
    </row>
    <row r="3" spans="1:23" x14ac:dyDescent="0.25">
      <c r="A3" t="s">
        <v>379</v>
      </c>
      <c r="B3" t="str">
        <f>VLOOKUP(A3, Eras!$B$2:$C$10, 2, FALSE)</f>
        <v>Early (1800-1850)</v>
      </c>
      <c r="C3">
        <f>COUNTIF(Table!$AW:$AW,CONCATENATE($A3,"_",C$1))</f>
        <v>0</v>
      </c>
      <c r="D3">
        <f>COUNTIF(Table!$AW:$AW,CONCATENATE($A3,"_",D$1))</f>
        <v>4</v>
      </c>
      <c r="E3">
        <f>COUNTIF(Table!$AW:$AW,CONCATENATE($A3,"_",E$1))</f>
        <v>0</v>
      </c>
      <c r="F3">
        <f>COUNTIF(Table!$AW:$AW,CONCATENATE($A3,"_",F$1))</f>
        <v>1</v>
      </c>
      <c r="G3">
        <f>COUNTIF(Table!$AW:$AW,CONCATENATE($A3,"_",G$1))</f>
        <v>0</v>
      </c>
      <c r="H3">
        <f>COUNTIF(Table!$AW:$AW,CONCATENATE($A3,"_",H$1))</f>
        <v>0</v>
      </c>
      <c r="I3">
        <f>COUNTIF(Table!$AW:$AW,CONCATENATE($A3,"_",I$1))</f>
        <v>0</v>
      </c>
      <c r="J3">
        <f>COUNTIF(Table!$AW:$AW,CONCATENATE($A3,"_",J$1))</f>
        <v>0</v>
      </c>
      <c r="K3">
        <f>COUNTIF(Table!$AW:$AW,CONCATENATE($A3,"_",K$1))</f>
        <v>0</v>
      </c>
      <c r="L3">
        <f>COUNTIF(Table!$AW:$AW,CONCATENATE($A3,"_",L$1))</f>
        <v>0</v>
      </c>
      <c r="M3">
        <f>COUNTIF(Table!$AW:$AW,CONCATENATE($A3,"_",M$1))</f>
        <v>0</v>
      </c>
      <c r="N3">
        <f>COUNTIF(Table!$AW:$AW,CONCATENATE($A3,"_",N$1))</f>
        <v>0</v>
      </c>
      <c r="O3">
        <f>COUNTIF(Table!$AW:$AW,CONCATENATE($A3,"_",O$1))</f>
        <v>0</v>
      </c>
      <c r="P3">
        <f>COUNTIF(Table!$AW:$AW,CONCATENATE($A3,"_",P$1))</f>
        <v>0</v>
      </c>
      <c r="Q3">
        <f>COUNTIF(Table!$AW:$AW,CONCATENATE($A3,"_",Q$1))</f>
        <v>0</v>
      </c>
      <c r="R3">
        <f>COUNTIF(Table!$AW:$AW,CONCATENATE($A3,"_",R$1))</f>
        <v>0</v>
      </c>
      <c r="S3">
        <f>COUNTIF(Table!$AW:$AW,CONCATENATE($A3,"_",S$1))</f>
        <v>1</v>
      </c>
      <c r="T3">
        <f>COUNTIF(Table!$AW:$AW,CONCATENATE($A3,"_",T$1))</f>
        <v>0</v>
      </c>
      <c r="U3">
        <f>COUNTIF(Table!$AW:$AW,CONCATENATE($A3,"_",U$1))</f>
        <v>0</v>
      </c>
      <c r="V3">
        <f>COUNTIF(Table!$AW:$AW,CONCATENATE($A3,"_",V$1))</f>
        <v>0</v>
      </c>
      <c r="W3">
        <f>COUNTIF(Table!$AW:$AW,CONCATENATE($A3,"_",W$1))</f>
        <v>0</v>
      </c>
    </row>
    <row r="4" spans="1:23" x14ac:dyDescent="0.25">
      <c r="A4" t="s">
        <v>446</v>
      </c>
      <c r="B4" t="str">
        <f>VLOOKUP(A4, Eras!$B$2:$C$10, 2, FALSE)</f>
        <v>Victorian (1850-1900)</v>
      </c>
      <c r="C4">
        <f>COUNTIF(Table!$AW:$AW,CONCATENATE($A4,"_",C$1))</f>
        <v>0</v>
      </c>
      <c r="D4">
        <f>COUNTIF(Table!$AW:$AW,CONCATENATE($A4,"_",D$1))</f>
        <v>0</v>
      </c>
      <c r="E4">
        <f>COUNTIF(Table!$AW:$AW,CONCATENATE($A4,"_",E$1))</f>
        <v>0</v>
      </c>
      <c r="F4">
        <f>COUNTIF(Table!$AW:$AW,CONCATENATE($A4,"_",F$1))</f>
        <v>1</v>
      </c>
      <c r="G4">
        <f>COUNTIF(Table!$AW:$AW,CONCATENATE($A4,"_",G$1))</f>
        <v>0</v>
      </c>
      <c r="H4">
        <f>COUNTIF(Table!$AW:$AW,CONCATENATE($A4,"_",H$1))</f>
        <v>0</v>
      </c>
      <c r="I4">
        <f>COUNTIF(Table!$AW:$AW,CONCATENATE($A4,"_",I$1))</f>
        <v>0</v>
      </c>
      <c r="J4">
        <f>COUNTIF(Table!$AW:$AW,CONCATENATE($A4,"_",J$1))</f>
        <v>0</v>
      </c>
      <c r="K4">
        <f>COUNTIF(Table!$AW:$AW,CONCATENATE($A4,"_",K$1))</f>
        <v>0</v>
      </c>
      <c r="L4">
        <f>COUNTIF(Table!$AW:$AW,CONCATENATE($A4,"_",L$1))</f>
        <v>0</v>
      </c>
      <c r="M4">
        <f>COUNTIF(Table!$AW:$AW,CONCATENATE($A4,"_",M$1))</f>
        <v>0</v>
      </c>
      <c r="N4">
        <f>COUNTIF(Table!$AW:$AW,CONCATENATE($A4,"_",N$1))</f>
        <v>1</v>
      </c>
      <c r="O4">
        <f>COUNTIF(Table!$AW:$AW,CONCATENATE($A4,"_",O$1))</f>
        <v>0</v>
      </c>
      <c r="P4">
        <f>COUNTIF(Table!$AW:$AW,CONCATENATE($A4,"_",P$1))</f>
        <v>0</v>
      </c>
      <c r="Q4">
        <f>COUNTIF(Table!$AW:$AW,CONCATENATE($A4,"_",Q$1))</f>
        <v>0</v>
      </c>
      <c r="R4">
        <f>COUNTIF(Table!$AW:$AW,CONCATENATE($A4,"_",R$1))</f>
        <v>0</v>
      </c>
      <c r="S4">
        <f>COUNTIF(Table!$AW:$AW,CONCATENATE($A4,"_",S$1))</f>
        <v>0</v>
      </c>
      <c r="T4">
        <f>COUNTIF(Table!$AW:$AW,CONCATENATE($A4,"_",T$1))</f>
        <v>0</v>
      </c>
      <c r="U4">
        <f>COUNTIF(Table!$AW:$AW,CONCATENATE($A4,"_",U$1))</f>
        <v>0</v>
      </c>
      <c r="V4">
        <f>COUNTIF(Table!$AW:$AW,CONCATENATE($A4,"_",V$1))</f>
        <v>1</v>
      </c>
      <c r="W4">
        <f>COUNTIF(Table!$AW:$AW,CONCATENATE($A4,"_",W$1))</f>
        <v>1</v>
      </c>
    </row>
    <row r="5" spans="1:23" x14ac:dyDescent="0.25">
      <c r="A5" t="s">
        <v>380</v>
      </c>
      <c r="B5" t="str">
        <f>VLOOKUP(A5, Eras!$B$2:$C$10, 2, FALSE)</f>
        <v>Edwardian (1900-1920)</v>
      </c>
      <c r="C5">
        <f>COUNTIF(Table!$AW:$AW,CONCATENATE($A5,"_",C$1))</f>
        <v>2</v>
      </c>
      <c r="D5">
        <f>COUNTIF(Table!$AW:$AW,CONCATENATE($A5,"_",D$1))</f>
        <v>1</v>
      </c>
      <c r="E5">
        <f>COUNTIF(Table!$AW:$AW,CONCATENATE($A5,"_",E$1))</f>
        <v>1</v>
      </c>
      <c r="F5">
        <f>COUNTIF(Table!$AW:$AW,CONCATENATE($A5,"_",F$1))</f>
        <v>1</v>
      </c>
      <c r="G5">
        <f>COUNTIF(Table!$AW:$AW,CONCATENATE($A5,"_",G$1))</f>
        <v>2</v>
      </c>
      <c r="H5">
        <f>COUNTIF(Table!$AW:$AW,CONCATENATE($A5,"_",H$1))</f>
        <v>0</v>
      </c>
      <c r="I5">
        <f>COUNTIF(Table!$AW:$AW,CONCATENATE($A5,"_",I$1))</f>
        <v>0</v>
      </c>
      <c r="J5">
        <f>COUNTIF(Table!$AW:$AW,CONCATENATE($A5,"_",J$1))</f>
        <v>2</v>
      </c>
      <c r="K5">
        <f>COUNTIF(Table!$AW:$AW,CONCATENATE($A5,"_",K$1))</f>
        <v>1</v>
      </c>
      <c r="L5">
        <f>COUNTIF(Table!$AW:$AW,CONCATENATE($A5,"_",L$1))</f>
        <v>0</v>
      </c>
      <c r="M5">
        <f>COUNTIF(Table!$AW:$AW,CONCATENATE($A5,"_",M$1))</f>
        <v>0</v>
      </c>
      <c r="N5">
        <f>COUNTIF(Table!$AW:$AW,CONCATENATE($A5,"_",N$1))</f>
        <v>1</v>
      </c>
      <c r="O5">
        <f>COUNTIF(Table!$AW:$AW,CONCATENATE($A5,"_",O$1))</f>
        <v>0</v>
      </c>
      <c r="P5">
        <f>COUNTIF(Table!$AW:$AW,CONCATENATE($A5,"_",P$1))</f>
        <v>1</v>
      </c>
      <c r="Q5">
        <f>COUNTIF(Table!$AW:$AW,CONCATENATE($A5,"_",Q$1))</f>
        <v>1</v>
      </c>
      <c r="R5">
        <f>COUNTIF(Table!$AW:$AW,CONCATENATE($A5,"_",R$1))</f>
        <v>0</v>
      </c>
      <c r="S5">
        <f>COUNTIF(Table!$AW:$AW,CONCATENATE($A5,"_",S$1))</f>
        <v>1</v>
      </c>
      <c r="T5">
        <f>COUNTIF(Table!$AW:$AW,CONCATENATE($A5,"_",T$1))</f>
        <v>1</v>
      </c>
      <c r="U5">
        <f>COUNTIF(Table!$AW:$AW,CONCATENATE($A5,"_",U$1))</f>
        <v>1</v>
      </c>
      <c r="V5">
        <f>COUNTIF(Table!$AW:$AW,CONCATENATE($A5,"_",V$1))</f>
        <v>1</v>
      </c>
      <c r="W5">
        <f>COUNTIF(Table!$AW:$AW,CONCATENATE($A5,"_",W$1))</f>
        <v>0</v>
      </c>
    </row>
    <row r="6" spans="1:23" x14ac:dyDescent="0.25">
      <c r="A6" t="s">
        <v>381</v>
      </c>
      <c r="B6" t="str">
        <f>VLOOKUP(A6, Eras!$B$2:$C$10, 2, FALSE)</f>
        <v>Big Four (1923-1948)</v>
      </c>
      <c r="C6">
        <f>COUNTIF(Table!$AW:$AW,CONCATENATE($A6,"_",C$1))</f>
        <v>1</v>
      </c>
      <c r="D6">
        <f>COUNTIF(Table!$AW:$AW,CONCATENATE($A6,"_",D$1))</f>
        <v>11</v>
      </c>
      <c r="E6">
        <f>COUNTIF(Table!$AW:$AW,CONCATENATE($A6,"_",E$1))</f>
        <v>6</v>
      </c>
      <c r="F6">
        <f>COUNTIF(Table!$AW:$AW,CONCATENATE($A6,"_",F$1))</f>
        <v>10</v>
      </c>
      <c r="G6">
        <f>COUNTIF(Table!$AW:$AW,CONCATENATE($A6,"_",G$1))</f>
        <v>2</v>
      </c>
      <c r="H6">
        <f>COUNTIF(Table!$AW:$AW,CONCATENATE($A6,"_",H$1))</f>
        <v>1</v>
      </c>
      <c r="I6">
        <f>COUNTIF(Table!$AW:$AW,CONCATENATE($A6,"_",I$1))</f>
        <v>0</v>
      </c>
      <c r="J6">
        <f>COUNTIF(Table!$AW:$AW,CONCATENATE($A6,"_",J$1))</f>
        <v>0</v>
      </c>
      <c r="K6">
        <f>COUNTIF(Table!$AW:$AW,CONCATENATE($A6,"_",K$1))</f>
        <v>1</v>
      </c>
      <c r="L6">
        <f>COUNTIF(Table!$AW:$AW,CONCATENATE($A6,"_",L$1))</f>
        <v>0</v>
      </c>
      <c r="M6">
        <f>COUNTIF(Table!$AW:$AW,CONCATENATE($A6,"_",M$1))</f>
        <v>0</v>
      </c>
      <c r="N6">
        <f>COUNTIF(Table!$AW:$AW,CONCATENATE($A6,"_",N$1))</f>
        <v>2</v>
      </c>
      <c r="O6">
        <f>COUNTIF(Table!$AW:$AW,CONCATENATE($A6,"_",O$1))</f>
        <v>1</v>
      </c>
      <c r="P6">
        <f>COUNTIF(Table!$AW:$AW,CONCATENATE($A6,"_",P$1))</f>
        <v>1</v>
      </c>
      <c r="Q6">
        <f>COUNTIF(Table!$AW:$AW,CONCATENATE($A6,"_",Q$1))</f>
        <v>1</v>
      </c>
      <c r="R6">
        <f>COUNTIF(Table!$AW:$AW,CONCATENATE($A6,"_",R$1))</f>
        <v>0</v>
      </c>
      <c r="S6">
        <f>COUNTIF(Table!$AW:$AW,CONCATENATE($A6,"_",S$1))</f>
        <v>0</v>
      </c>
      <c r="T6">
        <f>COUNTIF(Table!$AW:$AW,CONCATENATE($A6,"_",T$1))</f>
        <v>0</v>
      </c>
      <c r="U6">
        <f>COUNTIF(Table!$AW:$AW,CONCATENATE($A6,"_",U$1))</f>
        <v>0</v>
      </c>
      <c r="V6">
        <f>COUNTIF(Table!$AW:$AW,CONCATENATE($A6,"_",V$1))</f>
        <v>1</v>
      </c>
      <c r="W6">
        <f>COUNTIF(Table!$AW:$AW,CONCATENATE($A6,"_",W$1))</f>
        <v>0</v>
      </c>
    </row>
    <row r="7" spans="1:23" x14ac:dyDescent="0.25">
      <c r="A7" t="s">
        <v>729</v>
      </c>
      <c r="B7" t="str">
        <f>VLOOKUP(A7, Eras!$B$2:$C$10, 2, FALSE)</f>
        <v>Early BR (1948-1955)</v>
      </c>
      <c r="C7">
        <f>COUNTIF(Table!$AW:$AW,CONCATENATE($A7,"_",C$1))</f>
        <v>0</v>
      </c>
      <c r="D7">
        <f>COUNTIF(Table!$AW:$AW,CONCATENATE($A7,"_",D$1))</f>
        <v>2</v>
      </c>
      <c r="E7">
        <f>COUNTIF(Table!$AW:$AW,CONCATENATE($A7,"_",E$1))</f>
        <v>1</v>
      </c>
      <c r="F7">
        <f>COUNTIF(Table!$AW:$AW,CONCATENATE($A7,"_",F$1))</f>
        <v>1</v>
      </c>
      <c r="G7">
        <f>COUNTIF(Table!$AW:$AW,CONCATENATE($A7,"_",G$1))</f>
        <v>1</v>
      </c>
      <c r="H7">
        <f>COUNTIF(Table!$AW:$AW,CONCATENATE($A7,"_",H$1))</f>
        <v>0</v>
      </c>
      <c r="I7">
        <f>COUNTIF(Table!$AW:$AW,CONCATENATE($A7,"_",I$1))</f>
        <v>1</v>
      </c>
      <c r="J7">
        <f>COUNTIF(Table!$AW:$AW,CONCATENATE($A7,"_",J$1))</f>
        <v>1</v>
      </c>
      <c r="K7">
        <f>COUNTIF(Table!$AW:$AW,CONCATENATE($A7,"_",K$1))</f>
        <v>0</v>
      </c>
      <c r="L7">
        <f>COUNTIF(Table!$AW:$AW,CONCATENATE($A7,"_",L$1))</f>
        <v>0</v>
      </c>
      <c r="M7">
        <f>COUNTIF(Table!$AW:$AW,CONCATENATE($A7,"_",M$1))</f>
        <v>0</v>
      </c>
      <c r="N7">
        <f>COUNTIF(Table!$AW:$AW,CONCATENATE($A7,"_",N$1))</f>
        <v>1</v>
      </c>
      <c r="O7">
        <f>COUNTIF(Table!$AW:$AW,CONCATENATE($A7,"_",O$1))</f>
        <v>0</v>
      </c>
      <c r="P7">
        <f>COUNTIF(Table!$AW:$AW,CONCATENATE($A7,"_",P$1))</f>
        <v>0</v>
      </c>
      <c r="Q7">
        <f>COUNTIF(Table!$AW:$AW,CONCATENATE($A7,"_",Q$1))</f>
        <v>1</v>
      </c>
      <c r="R7">
        <f>COUNTIF(Table!$AW:$AW,CONCATENATE($A7,"_",R$1))</f>
        <v>0</v>
      </c>
      <c r="S7">
        <f>COUNTIF(Table!$AW:$AW,CONCATENATE($A7,"_",S$1))</f>
        <v>0</v>
      </c>
      <c r="T7">
        <f>COUNTIF(Table!$AW:$AW,CONCATENATE($A7,"_",T$1))</f>
        <v>0</v>
      </c>
      <c r="U7">
        <f>COUNTIF(Table!$AW:$AW,CONCATENATE($A7,"_",U$1))</f>
        <v>0</v>
      </c>
      <c r="V7">
        <f>COUNTIF(Table!$AW:$AW,CONCATENATE($A7,"_",V$1))</f>
        <v>0</v>
      </c>
      <c r="W7">
        <f>COUNTIF(Table!$AW:$AW,CONCATENATE($A7,"_",W$1))</f>
        <v>0</v>
      </c>
    </row>
    <row r="8" spans="1:23" x14ac:dyDescent="0.25">
      <c r="A8" t="s">
        <v>382</v>
      </c>
      <c r="B8" t="str">
        <f>VLOOKUP(A8, Eras!$B$2:$C$10, 2, FALSE)</f>
        <v>Dieselisation (1955-1970)</v>
      </c>
      <c r="C8">
        <f>COUNTIF(Table!$AW:$AW,CONCATENATE($A8,"_",C$1))</f>
        <v>1</v>
      </c>
      <c r="D8">
        <f>COUNTIF(Table!$AW:$AW,CONCATENATE($A8,"_",D$1))</f>
        <v>7</v>
      </c>
      <c r="E8">
        <f>COUNTIF(Table!$AW:$AW,CONCATENATE($A8,"_",E$1))</f>
        <v>2</v>
      </c>
      <c r="F8">
        <f>COUNTIF(Table!$AW:$AW,CONCATENATE($A8,"_",F$1))</f>
        <v>5</v>
      </c>
      <c r="G8">
        <f>COUNTIF(Table!$AW:$AW,CONCATENATE($A8,"_",G$1))</f>
        <v>4</v>
      </c>
      <c r="H8">
        <f>COUNTIF(Table!$AW:$AW,CONCATENATE($A8,"_",H$1))</f>
        <v>1</v>
      </c>
      <c r="I8">
        <f>COUNTIF(Table!$AW:$AW,CONCATENATE($A8,"_",I$1))</f>
        <v>2</v>
      </c>
      <c r="J8">
        <f>COUNTIF(Table!$AW:$AW,CONCATENATE($A8,"_",J$1))</f>
        <v>0</v>
      </c>
      <c r="K8">
        <f>COUNTIF(Table!$AW:$AW,CONCATENATE($A8,"_",K$1))</f>
        <v>0</v>
      </c>
      <c r="L8">
        <f>COUNTIF(Table!$AW:$AW,CONCATENATE($A8,"_",L$1))</f>
        <v>3</v>
      </c>
      <c r="M8">
        <f>COUNTIF(Table!$AW:$AW,CONCATENATE($A8,"_",M$1))</f>
        <v>2</v>
      </c>
      <c r="N8">
        <f>COUNTIF(Table!$AW:$AW,CONCATENATE($A8,"_",N$1))</f>
        <v>0</v>
      </c>
      <c r="O8">
        <f>COUNTIF(Table!$AW:$AW,CONCATENATE($A8,"_",O$1))</f>
        <v>2</v>
      </c>
      <c r="P8">
        <f>COUNTIF(Table!$AW:$AW,CONCATENATE($A8,"_",P$1))</f>
        <v>4</v>
      </c>
      <c r="Q8">
        <f>COUNTIF(Table!$AW:$AW,CONCATENATE($A8,"_",Q$1))</f>
        <v>1</v>
      </c>
      <c r="R8">
        <f>COUNTIF(Table!$AW:$AW,CONCATENATE($A8,"_",R$1))</f>
        <v>0</v>
      </c>
      <c r="S8">
        <f>COUNTIF(Table!$AW:$AW,CONCATENATE($A8,"_",S$1))</f>
        <v>0</v>
      </c>
      <c r="T8">
        <f>COUNTIF(Table!$AW:$AW,CONCATENATE($A8,"_",T$1))</f>
        <v>0</v>
      </c>
      <c r="U8">
        <f>COUNTIF(Table!$AW:$AW,CONCATENATE($A8,"_",U$1))</f>
        <v>0</v>
      </c>
      <c r="V8">
        <f>COUNTIF(Table!$AW:$AW,CONCATENATE($A8,"_",V$1))</f>
        <v>0</v>
      </c>
      <c r="W8">
        <f>COUNTIF(Table!$AW:$AW,CONCATENATE($A8,"_",W$1))</f>
        <v>0</v>
      </c>
    </row>
    <row r="9" spans="1:23" x14ac:dyDescent="0.25">
      <c r="A9" t="s">
        <v>730</v>
      </c>
      <c r="B9" t="str">
        <f>VLOOKUP(A9, Eras!$B$2:$C$10, 2, FALSE)</f>
        <v>Late BR (1970-1995)</v>
      </c>
      <c r="C9">
        <f>COUNTIF(Table!$AW:$AW,CONCATENATE($A9,"_",C$1))</f>
        <v>0</v>
      </c>
      <c r="D9">
        <f>COUNTIF(Table!$AW:$AW,CONCATENATE($A9,"_",D$1))</f>
        <v>0</v>
      </c>
      <c r="E9">
        <f>COUNTIF(Table!$AW:$AW,CONCATENATE($A9,"_",E$1))</f>
        <v>0</v>
      </c>
      <c r="F9">
        <f>COUNTIF(Table!$AW:$AW,CONCATENATE($A9,"_",F$1))</f>
        <v>2</v>
      </c>
      <c r="G9">
        <f>COUNTIF(Table!$AW:$AW,CONCATENATE($A9,"_",G$1))</f>
        <v>5</v>
      </c>
      <c r="H9">
        <f>COUNTIF(Table!$AW:$AW,CONCATENATE($A9,"_",H$1))</f>
        <v>0</v>
      </c>
      <c r="I9">
        <f>COUNTIF(Table!$AW:$AW,CONCATENATE($A9,"_",I$1))</f>
        <v>3</v>
      </c>
      <c r="J9">
        <f>COUNTIF(Table!$AW:$AW,CONCATENATE($A9,"_",J$1))</f>
        <v>0</v>
      </c>
      <c r="K9">
        <f>COUNTIF(Table!$AW:$AW,CONCATENATE($A9,"_",K$1))</f>
        <v>1</v>
      </c>
      <c r="L9">
        <f>COUNTIF(Table!$AW:$AW,CONCATENATE($A9,"_",L$1))</f>
        <v>3</v>
      </c>
      <c r="M9">
        <f>COUNTIF(Table!$AW:$AW,CONCATENATE($A9,"_",M$1))</f>
        <v>1</v>
      </c>
      <c r="N9">
        <f>COUNTIF(Table!$AW:$AW,CONCATENATE($A9,"_",N$1))</f>
        <v>6</v>
      </c>
      <c r="O9">
        <f>COUNTIF(Table!$AW:$AW,CONCATENATE($A9,"_",O$1))</f>
        <v>4</v>
      </c>
      <c r="P9">
        <f>COUNTIF(Table!$AW:$AW,CONCATENATE($A9,"_",P$1))</f>
        <v>4</v>
      </c>
      <c r="Q9">
        <f>COUNTIF(Table!$AW:$AW,CONCATENATE($A9,"_",Q$1))</f>
        <v>2</v>
      </c>
      <c r="R9">
        <f>COUNTIF(Table!$AW:$AW,CONCATENATE($A9,"_",R$1))</f>
        <v>0</v>
      </c>
      <c r="S9">
        <f>COUNTIF(Table!$AW:$AW,CONCATENATE($A9,"_",S$1))</f>
        <v>0</v>
      </c>
      <c r="T9">
        <f>COUNTIF(Table!$AW:$AW,CONCATENATE($A9,"_",T$1))</f>
        <v>0</v>
      </c>
      <c r="U9">
        <f>COUNTIF(Table!$AW:$AW,CONCATENATE($A9,"_",U$1))</f>
        <v>0</v>
      </c>
      <c r="V9">
        <f>COUNTIF(Table!$AW:$AW,CONCATENATE($A9,"_",V$1))</f>
        <v>0</v>
      </c>
      <c r="W9">
        <f>COUNTIF(Table!$AW:$AW,CONCATENATE($A9,"_",W$1))</f>
        <v>0</v>
      </c>
    </row>
    <row r="10" spans="1:23" x14ac:dyDescent="0.25">
      <c r="A10" t="s">
        <v>383</v>
      </c>
      <c r="B10" t="str">
        <f>VLOOKUP(A10, Eras!$B$2:$C$10, 2, FALSE)</f>
        <v>Privatisation (1995-2005)</v>
      </c>
      <c r="C10">
        <f>COUNTIF(Table!$AW:$AW,CONCATENATE($A10,"_",C$1))</f>
        <v>0</v>
      </c>
      <c r="D10">
        <f>COUNTIF(Table!$AW:$AW,CONCATENATE($A10,"_",D$1))</f>
        <v>0</v>
      </c>
      <c r="E10">
        <f>COUNTIF(Table!$AW:$AW,CONCATENATE($A10,"_",E$1))</f>
        <v>0</v>
      </c>
      <c r="F10">
        <f>COUNTIF(Table!$AW:$AW,CONCATENATE($A10,"_",F$1))</f>
        <v>0</v>
      </c>
      <c r="G10">
        <f>COUNTIF(Table!$AW:$AW,CONCATENATE($A10,"_",G$1))</f>
        <v>3</v>
      </c>
      <c r="H10">
        <f>COUNTIF(Table!$AW:$AW,CONCATENATE($A10,"_",H$1))</f>
        <v>0</v>
      </c>
      <c r="I10">
        <f>COUNTIF(Table!$AW:$AW,CONCATENATE($A10,"_",I$1))</f>
        <v>0</v>
      </c>
      <c r="J10">
        <f>COUNTIF(Table!$AW:$AW,CONCATENATE($A10,"_",J$1))</f>
        <v>0</v>
      </c>
      <c r="K10">
        <f>COUNTIF(Table!$AW:$AW,CONCATENATE($A10,"_",K$1))</f>
        <v>0</v>
      </c>
      <c r="L10">
        <f>COUNTIF(Table!$AW:$AW,CONCATENATE($A10,"_",L$1))</f>
        <v>1</v>
      </c>
      <c r="M10">
        <f>COUNTIF(Table!$AW:$AW,CONCATENATE($A10,"_",M$1))</f>
        <v>3</v>
      </c>
      <c r="N10">
        <f>COUNTIF(Table!$AW:$AW,CONCATENATE($A10,"_",N$1))</f>
        <v>2</v>
      </c>
      <c r="O10">
        <f>COUNTIF(Table!$AW:$AW,CONCATENATE($A10,"_",O$1))</f>
        <v>3</v>
      </c>
      <c r="P10">
        <f>COUNTIF(Table!$AW:$AW,CONCATENATE($A10,"_",P$1))</f>
        <v>1</v>
      </c>
      <c r="Q10">
        <f>COUNTIF(Table!$AW:$AW,CONCATENATE($A10,"_",Q$1))</f>
        <v>0</v>
      </c>
      <c r="R10">
        <f>COUNTIF(Table!$AW:$AW,CONCATENATE($A10,"_",R$1))</f>
        <v>0</v>
      </c>
      <c r="S10">
        <f>COUNTIF(Table!$AW:$AW,CONCATENATE($A10,"_",S$1))</f>
        <v>0</v>
      </c>
      <c r="T10">
        <f>COUNTIF(Table!$AW:$AW,CONCATENATE($A10,"_",T$1))</f>
        <v>0</v>
      </c>
      <c r="U10">
        <f>COUNTIF(Table!$AW:$AW,CONCATENATE($A10,"_",U$1))</f>
        <v>0</v>
      </c>
      <c r="V10">
        <f>COUNTIF(Table!$AW:$AW,CONCATENATE($A10,"_",V$1))</f>
        <v>0</v>
      </c>
      <c r="W10">
        <f>COUNTIF(Table!$AW:$AW,CONCATENATE($A10,"_",W$1))</f>
        <v>0</v>
      </c>
    </row>
    <row r="11" spans="1:23" x14ac:dyDescent="0.25">
      <c r="A11" t="s">
        <v>384</v>
      </c>
      <c r="B11" t="str">
        <f>VLOOKUP(A11, Eras!$B$2:$C$10, 2, FALSE)</f>
        <v>Modern (2005-)</v>
      </c>
      <c r="C11">
        <f>COUNTIF(Table!$AW:$AW,CONCATENATE($A11,"_",C$1))</f>
        <v>0</v>
      </c>
      <c r="D11">
        <f>COUNTIF(Table!$AW:$AW,CONCATENATE($A11,"_",D$1))</f>
        <v>1</v>
      </c>
      <c r="E11">
        <f>COUNTIF(Table!$AW:$AW,CONCATENATE($A11,"_",E$1))</f>
        <v>0</v>
      </c>
      <c r="F11">
        <f>COUNTIF(Table!$AW:$AW,CONCATENATE($A11,"_",F$1))</f>
        <v>0</v>
      </c>
      <c r="G11">
        <f>COUNTIF(Table!$AW:$AW,CONCATENATE($A11,"_",G$1))</f>
        <v>1</v>
      </c>
      <c r="H11">
        <f>COUNTIF(Table!$AW:$AW,CONCATENATE($A11,"_",H$1))</f>
        <v>0</v>
      </c>
      <c r="I11">
        <f>COUNTIF(Table!$AW:$AW,CONCATENATE($A11,"_",I$1))</f>
        <v>0</v>
      </c>
      <c r="J11">
        <f>COUNTIF(Table!$AW:$AW,CONCATENATE($A11,"_",J$1))</f>
        <v>1</v>
      </c>
      <c r="K11">
        <f>COUNTIF(Table!$AW:$AW,CONCATENATE($A11,"_",K$1))</f>
        <v>0</v>
      </c>
      <c r="L11">
        <f>COUNTIF(Table!$AW:$AW,CONCATENATE($A11,"_",L$1))</f>
        <v>1</v>
      </c>
      <c r="M11">
        <f>COUNTIF(Table!$AW:$AW,CONCATENATE($A11,"_",M$1))</f>
        <v>0</v>
      </c>
      <c r="N11">
        <f>COUNTIF(Table!$AW:$AW,CONCATENATE($A11,"_",N$1))</f>
        <v>1</v>
      </c>
      <c r="O11">
        <f>COUNTIF(Table!$AW:$AW,CONCATENATE($A11,"_",O$1))</f>
        <v>1</v>
      </c>
      <c r="P11">
        <f>COUNTIF(Table!$AW:$AW,CONCATENATE($A11,"_",P$1))</f>
        <v>2</v>
      </c>
      <c r="Q11">
        <f>COUNTIF(Table!$AW:$AW,CONCATENATE($A11,"_",Q$1))</f>
        <v>0</v>
      </c>
      <c r="R11">
        <f>COUNTIF(Table!$AW:$AW,CONCATENATE($A11,"_",R$1))</f>
        <v>0</v>
      </c>
      <c r="S11">
        <f>COUNTIF(Table!$AW:$AW,CONCATENATE($A11,"_",S$1))</f>
        <v>0</v>
      </c>
      <c r="T11">
        <f>COUNTIF(Table!$AW:$AW,CONCATENATE($A11,"_",T$1))</f>
        <v>0</v>
      </c>
      <c r="U11">
        <f>COUNTIF(Table!$AW:$AW,CONCATENATE($A11,"_",U$1))</f>
        <v>0</v>
      </c>
      <c r="V11">
        <f>COUNTIF(Table!$AW:$AW,CONCATENATE($A11,"_",V$1))</f>
        <v>0</v>
      </c>
      <c r="W11">
        <f>COUNTIF(Table!$AW:$AW,CONCATENATE($A11,"_",W$1))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372</v>
      </c>
      <c r="B1" s="1" t="s">
        <v>378</v>
      </c>
      <c r="C1" s="1" t="s">
        <v>373</v>
      </c>
    </row>
    <row r="2" spans="1:3" x14ac:dyDescent="0.25">
      <c r="A2">
        <v>1800</v>
      </c>
      <c r="B2" t="s">
        <v>379</v>
      </c>
      <c r="C2" t="s">
        <v>445</v>
      </c>
    </row>
    <row r="3" spans="1:3" x14ac:dyDescent="0.25">
      <c r="A3">
        <v>1850</v>
      </c>
      <c r="B3" t="s">
        <v>446</v>
      </c>
      <c r="C3" t="s">
        <v>444</v>
      </c>
    </row>
    <row r="4" spans="1:3" x14ac:dyDescent="0.25">
      <c r="A4">
        <v>1900</v>
      </c>
      <c r="B4" t="s">
        <v>380</v>
      </c>
      <c r="C4" t="s">
        <v>374</v>
      </c>
    </row>
    <row r="5" spans="1:3" x14ac:dyDescent="0.25">
      <c r="A5">
        <v>1923</v>
      </c>
      <c r="B5" t="s">
        <v>381</v>
      </c>
      <c r="C5" t="s">
        <v>488</v>
      </c>
    </row>
    <row r="6" spans="1:3" x14ac:dyDescent="0.25">
      <c r="A6">
        <v>1948</v>
      </c>
      <c r="B6" t="s">
        <v>729</v>
      </c>
      <c r="C6" t="s">
        <v>375</v>
      </c>
    </row>
    <row r="7" spans="1:3" x14ac:dyDescent="0.25">
      <c r="A7">
        <v>1955</v>
      </c>
      <c r="B7" t="s">
        <v>382</v>
      </c>
      <c r="C7" t="s">
        <v>732</v>
      </c>
    </row>
    <row r="8" spans="1:3" x14ac:dyDescent="0.25">
      <c r="A8">
        <v>1970</v>
      </c>
      <c r="B8" t="s">
        <v>730</v>
      </c>
      <c r="C8" t="s">
        <v>731</v>
      </c>
    </row>
    <row r="9" spans="1:3" x14ac:dyDescent="0.25">
      <c r="A9">
        <v>1995</v>
      </c>
      <c r="B9" t="s">
        <v>383</v>
      </c>
      <c r="C9" t="s">
        <v>376</v>
      </c>
    </row>
    <row r="10" spans="1:3" x14ac:dyDescent="0.25">
      <c r="A10">
        <v>2005</v>
      </c>
      <c r="B10" t="s">
        <v>384</v>
      </c>
      <c r="C10" t="s">
        <v>377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I7" sqref="I7"/>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306</v>
      </c>
      <c r="B1" s="1" t="s">
        <v>307</v>
      </c>
      <c r="C1" s="1" t="s">
        <v>574</v>
      </c>
    </row>
    <row r="2" spans="1:3" x14ac:dyDescent="0.25">
      <c r="A2" s="2">
        <v>0</v>
      </c>
      <c r="B2" s="2" t="s">
        <v>181</v>
      </c>
    </row>
    <row r="3" spans="1:3" x14ac:dyDescent="0.25">
      <c r="A3">
        <v>3</v>
      </c>
      <c r="B3" t="s">
        <v>353</v>
      </c>
      <c r="C3" t="s">
        <v>353</v>
      </c>
    </row>
    <row r="4" spans="1:3" x14ac:dyDescent="0.25">
      <c r="A4">
        <v>4</v>
      </c>
      <c r="B4" t="s">
        <v>576</v>
      </c>
      <c r="C4" t="s">
        <v>576</v>
      </c>
    </row>
    <row r="5" spans="1:3" x14ac:dyDescent="0.25">
      <c r="A5">
        <v>5</v>
      </c>
      <c r="B5" t="s">
        <v>671</v>
      </c>
      <c r="C5" t="s">
        <v>671</v>
      </c>
    </row>
    <row r="6" spans="1:3" x14ac:dyDescent="0.25">
      <c r="A6">
        <v>6</v>
      </c>
      <c r="B6" t="s">
        <v>366</v>
      </c>
      <c r="C6" t="s">
        <v>366</v>
      </c>
    </row>
    <row r="7" spans="1:3" x14ac:dyDescent="0.25">
      <c r="A7">
        <v>7</v>
      </c>
      <c r="B7" t="s">
        <v>575</v>
      </c>
      <c r="C7" t="s">
        <v>575</v>
      </c>
    </row>
    <row r="8" spans="1:3" x14ac:dyDescent="0.25">
      <c r="A8">
        <v>8</v>
      </c>
      <c r="B8" t="s">
        <v>672</v>
      </c>
      <c r="C8" t="s">
        <v>672</v>
      </c>
    </row>
    <row r="9" spans="1:3" x14ac:dyDescent="0.25">
      <c r="A9">
        <v>9</v>
      </c>
      <c r="B9" t="s">
        <v>673</v>
      </c>
      <c r="C9" t="s">
        <v>673</v>
      </c>
    </row>
    <row r="10" spans="1:3" x14ac:dyDescent="0.25">
      <c r="A10">
        <v>10</v>
      </c>
      <c r="B10" t="s">
        <v>674</v>
      </c>
      <c r="C10" t="s">
        <v>674</v>
      </c>
    </row>
    <row r="11" spans="1:3" x14ac:dyDescent="0.25">
      <c r="A11">
        <v>11</v>
      </c>
      <c r="B11" t="s">
        <v>675</v>
      </c>
      <c r="C11" t="s">
        <v>675</v>
      </c>
    </row>
    <row r="12" spans="1:3" x14ac:dyDescent="0.25">
      <c r="A12">
        <v>12</v>
      </c>
      <c r="B12" t="s">
        <v>676</v>
      </c>
      <c r="C12" t="s">
        <v>676</v>
      </c>
    </row>
    <row r="13" spans="1:3" x14ac:dyDescent="0.25">
      <c r="A13">
        <v>13</v>
      </c>
      <c r="B13" t="s">
        <v>677</v>
      </c>
      <c r="C13" t="s">
        <v>677</v>
      </c>
    </row>
    <row r="14" spans="1:3" x14ac:dyDescent="0.25">
      <c r="A14">
        <v>14</v>
      </c>
      <c r="B14" t="s">
        <v>678</v>
      </c>
      <c r="C14" t="s">
        <v>678</v>
      </c>
    </row>
    <row r="15" spans="1:3" x14ac:dyDescent="0.25">
      <c r="A15">
        <v>15</v>
      </c>
      <c r="B15" t="s">
        <v>679</v>
      </c>
      <c r="C15" t="s">
        <v>679</v>
      </c>
    </row>
    <row r="16" spans="1:3" x14ac:dyDescent="0.25">
      <c r="A16">
        <v>16</v>
      </c>
      <c r="B16" t="s">
        <v>680</v>
      </c>
      <c r="C16" t="s">
        <v>680</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360</v>
      </c>
      <c r="B1" s="1" t="s">
        <v>361</v>
      </c>
      <c r="C1" s="1" t="s">
        <v>362</v>
      </c>
      <c r="D1" s="1" t="s">
        <v>363</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765</v>
      </c>
    </row>
    <row r="3" spans="1:21" x14ac:dyDescent="0.25">
      <c r="A3" t="s">
        <v>777</v>
      </c>
      <c r="B3" t="s">
        <v>761</v>
      </c>
      <c r="C3" t="s">
        <v>764</v>
      </c>
      <c r="D3" t="s">
        <v>764</v>
      </c>
      <c r="E3" t="s">
        <v>764</v>
      </c>
      <c r="F3" t="s">
        <v>764</v>
      </c>
      <c r="G3" t="s">
        <v>768</v>
      </c>
      <c r="H3" t="s">
        <v>767</v>
      </c>
      <c r="I3" t="s">
        <v>767</v>
      </c>
      <c r="J3" t="s">
        <v>769</v>
      </c>
      <c r="K3" t="s">
        <v>764</v>
      </c>
      <c r="L3" t="s">
        <v>764</v>
      </c>
      <c r="M3" t="s">
        <v>764</v>
      </c>
      <c r="N3" t="s">
        <v>764</v>
      </c>
      <c r="O3" t="s">
        <v>766</v>
      </c>
    </row>
    <row r="4" spans="1:21" x14ac:dyDescent="0.25">
      <c r="A4" t="s">
        <v>778</v>
      </c>
      <c r="B4">
        <v>1</v>
      </c>
      <c r="C4">
        <v>1</v>
      </c>
      <c r="D4">
        <v>0</v>
      </c>
      <c r="E4">
        <v>0</v>
      </c>
      <c r="F4">
        <v>0</v>
      </c>
      <c r="G4">
        <v>1</v>
      </c>
      <c r="H4">
        <v>1</v>
      </c>
      <c r="I4">
        <v>0</v>
      </c>
      <c r="J4">
        <v>1</v>
      </c>
      <c r="K4">
        <v>0</v>
      </c>
      <c r="L4">
        <v>0</v>
      </c>
      <c r="M4">
        <v>0</v>
      </c>
      <c r="N4">
        <v>0</v>
      </c>
      <c r="O4">
        <v>1</v>
      </c>
    </row>
    <row r="6" spans="1:21" ht="14.25" customHeight="1" x14ac:dyDescent="0.25">
      <c r="B6" t="s">
        <v>776</v>
      </c>
    </row>
    <row r="7" spans="1:21" x14ac:dyDescent="0.25">
      <c r="A7" t="s">
        <v>777</v>
      </c>
      <c r="B7" t="s">
        <v>736</v>
      </c>
      <c r="C7" t="s">
        <v>782</v>
      </c>
      <c r="D7" t="s">
        <v>781</v>
      </c>
      <c r="E7" t="s">
        <v>781</v>
      </c>
      <c r="F7" t="s">
        <v>781</v>
      </c>
      <c r="G7" t="s">
        <v>781</v>
      </c>
      <c r="H7" t="s">
        <v>783</v>
      </c>
      <c r="I7" t="s">
        <v>781</v>
      </c>
      <c r="J7" t="s">
        <v>781</v>
      </c>
      <c r="K7" t="s">
        <v>781</v>
      </c>
      <c r="L7" t="s">
        <v>781</v>
      </c>
      <c r="M7" t="s">
        <v>781</v>
      </c>
      <c r="N7" t="s">
        <v>781</v>
      </c>
      <c r="O7" t="s">
        <v>783</v>
      </c>
      <c r="P7" t="s">
        <v>781</v>
      </c>
      <c r="Q7" t="s">
        <v>781</v>
      </c>
      <c r="R7" t="s">
        <v>781</v>
      </c>
      <c r="S7" t="s">
        <v>781</v>
      </c>
      <c r="T7" t="s">
        <v>784</v>
      </c>
      <c r="U7" t="s">
        <v>785</v>
      </c>
    </row>
    <row r="8" spans="1:21" x14ac:dyDescent="0.25">
      <c r="A8" t="s">
        <v>778</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306</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779</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780</v>
      </c>
      <c r="B11" t="str">
        <f>VLOOKUP(B10,'Articulated Lengths'!$A$1:$B$16,2,FALSE)</f>
        <v>4,4,5</v>
      </c>
      <c r="C11" t="str">
        <f>VLOOKUP(C10,'Articulated Lengths'!$A$1:$B$16,2,FALSE)</f>
        <v>4,4,5</v>
      </c>
      <c r="D11" t="str">
        <f>VLOOKUP(D10,'Articulated Lengths'!$A$1:$B$16,2,FALSE)</f>
        <v>3,3,5</v>
      </c>
      <c r="E11" t="str">
        <f>VLOOKUP(E10,'Articulated Lengths'!$A$1:$B$16,2,FALSE)</f>
        <v>3,3,5</v>
      </c>
      <c r="F11" t="str">
        <f>VLOOKUP(F10,'Articulated Lengths'!$A$1:$B$16,2,FALSE)</f>
        <v>3,3,5</v>
      </c>
      <c r="G11" t="str">
        <f>VLOOKUP(G10,'Articulated Lengths'!$A$1:$B$16,2,FALSE)</f>
        <v>3,3,5</v>
      </c>
      <c r="H11" t="str">
        <f>VLOOKUP(H10,'Articulated Lengths'!$A$1:$B$16,2,FALSE)</f>
        <v>3,3,5</v>
      </c>
      <c r="I11" t="str">
        <f>VLOOKUP(I10,'Articulated Lengths'!$A$1:$B$16,2,FALSE)</f>
        <v>3,3,5</v>
      </c>
      <c r="J11" t="str">
        <f>VLOOKUP(J10,'Articulated Lengths'!$A$1:$B$16,2,FALSE)</f>
        <v>3,3,5</v>
      </c>
      <c r="K11" t="str">
        <f>VLOOKUP(K10,'Articulated Lengths'!$A$1:$B$16,2,FALSE)</f>
        <v>3,3,5</v>
      </c>
      <c r="L11" t="str">
        <f>VLOOKUP(L10,'Articulated Lengths'!$A$1:$B$16,2,FALSE)</f>
        <v>3,3,5</v>
      </c>
      <c r="M11" t="str">
        <f>VLOOKUP(M10,'Articulated Lengths'!$A$1:$B$16,2,FALSE)</f>
        <v>3,3,5</v>
      </c>
      <c r="N11" t="str">
        <f>VLOOKUP(N10,'Articulated Lengths'!$A$1:$B$16,2,FALSE)</f>
        <v>3,3,5</v>
      </c>
      <c r="O11" t="str">
        <f>VLOOKUP(O10,'Articulated Lengths'!$A$1:$B$16,2,FALSE)</f>
        <v>3,3,5</v>
      </c>
      <c r="P11" t="str">
        <f>VLOOKUP(P10,'Articulated Lengths'!$A$1:$B$16,2,FALSE)</f>
        <v>3,3,5</v>
      </c>
      <c r="Q11" t="str">
        <f>VLOOKUP(Q10,'Articulated Lengths'!$A$1:$B$16,2,FALSE)</f>
        <v>3,3,5</v>
      </c>
      <c r="R11" t="str">
        <f>VLOOKUP(R10,'Articulated Lengths'!$A$1:$B$16,2,FALSE)</f>
        <v>3,3,5</v>
      </c>
      <c r="S11" t="str">
        <f>VLOOKUP(S10,'Articulated Lengths'!$A$1:$B$16,2,FALSE)</f>
        <v>3,3,5</v>
      </c>
      <c r="T11" t="str">
        <f>VLOOKUP(T10,'Articulated Lengths'!$A$1:$B$16,2,FALSE)</f>
        <v>4,4,5</v>
      </c>
      <c r="U11" t="str">
        <f>VLOOKUP(U10,'Articulated Lengths'!$A$1:$B$16,2,FALSE)</f>
        <v>4,4,5</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4,4,5,4,4,5,3,3,5,3,3,5,3,3,5,3,3,5,3,3,5,3,3,5,3,3,5,3,3,5,3,3,5,3,3,5,3,3,5,3,3,5,3,3,5,3,3,5,3,3,5,3,3,5,4,4,5,4,4,5</v>
      </c>
    </row>
    <row r="17" spans="1:9" x14ac:dyDescent="0.25">
      <c r="B17" t="s">
        <v>791</v>
      </c>
    </row>
    <row r="18" spans="1:9" x14ac:dyDescent="0.25">
      <c r="A18" t="s">
        <v>777</v>
      </c>
      <c r="B18" t="s">
        <v>736</v>
      </c>
      <c r="C18" t="s">
        <v>782</v>
      </c>
      <c r="D18" t="s">
        <v>781</v>
      </c>
      <c r="E18" t="s">
        <v>783</v>
      </c>
      <c r="F18" t="s">
        <v>781</v>
      </c>
      <c r="G18" t="s">
        <v>783</v>
      </c>
      <c r="H18" t="s">
        <v>784</v>
      </c>
      <c r="I18" t="s">
        <v>785</v>
      </c>
    </row>
    <row r="19" spans="1:9" x14ac:dyDescent="0.25">
      <c r="A19" t="s">
        <v>778</v>
      </c>
      <c r="B19">
        <v>0</v>
      </c>
      <c r="C19">
        <v>0</v>
      </c>
      <c r="D19">
        <v>0</v>
      </c>
      <c r="E19">
        <v>0</v>
      </c>
      <c r="F19">
        <v>0</v>
      </c>
      <c r="G19">
        <v>0</v>
      </c>
      <c r="H19">
        <v>0</v>
      </c>
      <c r="I19">
        <v>0</v>
      </c>
    </row>
    <row r="20" spans="1:9" x14ac:dyDescent="0.25">
      <c r="A20" t="s">
        <v>306</v>
      </c>
      <c r="B20">
        <v>22.15</v>
      </c>
      <c r="C20">
        <v>21.84</v>
      </c>
      <c r="D20">
        <v>18.7</v>
      </c>
      <c r="E20">
        <v>18.7</v>
      </c>
      <c r="F20">
        <v>18.7</v>
      </c>
      <c r="G20">
        <v>18.7</v>
      </c>
      <c r="H20">
        <v>21.84</v>
      </c>
      <c r="I20">
        <v>22.15</v>
      </c>
    </row>
    <row r="21" spans="1:9" x14ac:dyDescent="0.25">
      <c r="A21" t="s">
        <v>779</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780</v>
      </c>
      <c r="B22" t="str">
        <f>VLOOKUP(B21,'Articulated Lengths'!$A$1:$B$16,2,FALSE)</f>
        <v>4,4,5</v>
      </c>
      <c r="C22" t="str">
        <f>VLOOKUP(C21,'Articulated Lengths'!$A$1:$B$16,2,FALSE)</f>
        <v>4,4,5</v>
      </c>
      <c r="D22" t="str">
        <f>VLOOKUP(D21,'Articulated Lengths'!$A$1:$B$16,2,FALSE)</f>
        <v>3,3,5</v>
      </c>
      <c r="E22" t="str">
        <f>VLOOKUP(E21,'Articulated Lengths'!$A$1:$B$16,2,FALSE)</f>
        <v>3,3,5</v>
      </c>
      <c r="F22" t="str">
        <f>VLOOKUP(F21,'Articulated Lengths'!$A$1:$B$16,2,FALSE)</f>
        <v>3,3,5</v>
      </c>
      <c r="G22" t="str">
        <f>VLOOKUP(G21,'Articulated Lengths'!$A$1:$B$16,2,FALSE)</f>
        <v>3,3,5</v>
      </c>
      <c r="H22" t="str">
        <f>VLOOKUP(H21,'Articulated Lengths'!$A$1:$B$16,2,FALSE)</f>
        <v>4,4,5</v>
      </c>
      <c r="I22" t="str">
        <f>VLOOKUP(I21,'Articulated Lengths'!$A$1:$B$16,2,FALSE)</f>
        <v>4,4,5</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4,4,5,4,4,5,3,3,5,3,3,5,3,3,5,3,3,5,4,4,5,4,4,5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Articulated Lengths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2020-07-06T23:00:16Z</dcterms:modified>
</cp:coreProperties>
</file>