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01AFB4A8-C684-45E0-9D29-996CA6B44BCA}" xr6:coauthVersionLast="45" xr6:coauthVersionMax="45" xr10:uidLastSave="{00000000-0000-0000-0000-000000000000}"/>
  <bookViews>
    <workbookView xWindow="1695" yWindow="2190" windowWidth="25275" windowHeight="11925" firstSheet="2"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<sst xmlns="http://schemas.openxmlformats.org/spreadsheetml/2006/main" count="2374" uniqueCount="1162">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</sst>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B35" activePane="bottomRight" state="frozenSplit"/>
      <selection pane="topRight" activeCell="B1" sqref="B1"/>
      <selection pane="bottomLeft" activeCell="A2" sqref="A2"/>
      <selection pane="bottomRight" activeCell="AT52" sqref="AT52"/>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1113</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1114</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1114</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1114</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1114</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1114</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1114</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1114</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1115</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1115</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1115</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1115</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1112</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1112</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1112</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1112</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1112</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1112</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1112</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1112</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1112</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976</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976</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976</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976</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976</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1118</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1116</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1116</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1117</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1117</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O112"/>
  <sheetViews>
    <sheetView tabSelected="1" topLeftCell="A25" workbookViewId="0">
      <selection activeCell="G39" sqref="G39"/>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5" x14ac:dyDescent="0.25">
      <c r="A1" s="1" t="s">
        <v>885</v>
      </c>
      <c r="B1" s="1" t="s">
        <v>884</v>
      </c>
      <c r="C1" s="1" t="s">
        <v>1111</v>
      </c>
      <c r="F1" s="1" t="s">
        <v>1119</v>
      </c>
      <c r="G1" s="1" t="s">
        <v>354</v>
      </c>
      <c r="H1" s="1" t="s">
        <v>1121</v>
      </c>
      <c r="J1" s="1" t="s">
        <v>1134</v>
      </c>
      <c r="K1" s="1" t="s">
        <v>1135</v>
      </c>
      <c r="L1" s="1" t="s">
        <v>1136</v>
      </c>
      <c r="M1" s="1" t="s">
        <v>1137</v>
      </c>
      <c r="N1" s="1" t="s">
        <v>1122</v>
      </c>
      <c r="O1" s="1" t="s">
        <v>1130</v>
      </c>
    </row>
    <row r="2" spans="1:15" ht="15.75" customHeight="1" x14ac:dyDescent="0.25">
      <c r="A2" t="s">
        <v>931</v>
      </c>
      <c r="B2" t="s">
        <v>989</v>
      </c>
      <c r="C2" t="s">
        <v>1037</v>
      </c>
      <c r="D2" t="str">
        <f t="shared" ref="D2:D33" si="0">CONCATENATE("""", A2, """,")</f>
        <v>"ACID",</v>
      </c>
      <c r="F2" t="s">
        <v>1087</v>
      </c>
      <c r="G2" s="14" t="str">
        <f>VLOOKUP(F2,A:B,2, FALSE)</f>
        <v>Batteries</v>
      </c>
      <c r="H2" s="14" t="s">
        <v>1130</v>
      </c>
      <c r="J2" t="s">
        <v>1133</v>
      </c>
      <c r="K2">
        <v>136</v>
      </c>
      <c r="L2">
        <v>38</v>
      </c>
      <c r="M2">
        <v>28</v>
      </c>
      <c r="N2">
        <f>K2/45</f>
        <v>3.0222222222222221</v>
      </c>
      <c r="O2">
        <f>K2/30</f>
        <v>4.5333333333333332</v>
      </c>
    </row>
    <row r="3" spans="1:15" x14ac:dyDescent="0.25">
      <c r="A3" t="s">
        <v>890</v>
      </c>
      <c r="B3" t="s">
        <v>952</v>
      </c>
      <c r="C3" t="s">
        <v>1009</v>
      </c>
      <c r="D3" t="str">
        <f t="shared" si="0"/>
        <v>"AORE",</v>
      </c>
      <c r="F3" t="s">
        <v>899</v>
      </c>
      <c r="G3" s="14" t="str">
        <f t="shared" ref="G3:G42" si="1">VLOOKUP(F3,A:B,2, FALSE)</f>
        <v>Bulding Materials</v>
      </c>
      <c r="H3" s="14" t="s">
        <v>1122</v>
      </c>
      <c r="J3" t="s">
        <v>1138</v>
      </c>
      <c r="K3">
        <v>70</v>
      </c>
      <c r="L3">
        <v>38</v>
      </c>
      <c r="M3">
        <v>28</v>
      </c>
      <c r="N3">
        <f t="shared" ref="N3:N9" si="2">K3/45</f>
        <v>1.5555555555555556</v>
      </c>
      <c r="O3">
        <f t="shared" ref="O3:O9" si="3">K3/30</f>
        <v>2.3333333333333335</v>
      </c>
    </row>
    <row r="4" spans="1:15" x14ac:dyDescent="0.25">
      <c r="A4" t="s">
        <v>1087</v>
      </c>
      <c r="B4" t="s">
        <v>1088</v>
      </c>
      <c r="C4" t="s">
        <v>1013</v>
      </c>
      <c r="D4" t="str">
        <f t="shared" si="0"/>
        <v>"BATT",</v>
      </c>
      <c r="F4" t="s">
        <v>898</v>
      </c>
      <c r="G4" s="14" t="str">
        <f t="shared" si="1"/>
        <v>Beer</v>
      </c>
      <c r="H4" s="14" t="s">
        <v>1130</v>
      </c>
      <c r="J4" t="s">
        <v>1139</v>
      </c>
      <c r="K4">
        <v>136</v>
      </c>
      <c r="L4">
        <v>38</v>
      </c>
      <c r="M4">
        <v>28</v>
      </c>
      <c r="N4">
        <f t="shared" si="2"/>
        <v>3.0222222222222221</v>
      </c>
      <c r="O4">
        <f t="shared" si="3"/>
        <v>4.5333333333333332</v>
      </c>
    </row>
    <row r="5" spans="1:15" x14ac:dyDescent="0.25">
      <c r="A5" t="s">
        <v>899</v>
      </c>
      <c r="B5" t="s">
        <v>964</v>
      </c>
      <c r="C5" t="s">
        <v>1025</v>
      </c>
      <c r="D5" t="str">
        <f t="shared" si="0"/>
        <v>"BDMT",</v>
      </c>
      <c r="F5" t="s">
        <v>1026</v>
      </c>
      <c r="G5" s="14" t="str">
        <f t="shared" si="1"/>
        <v>Explosives</v>
      </c>
      <c r="H5" s="14" t="s">
        <v>1130</v>
      </c>
      <c r="J5" t="s">
        <v>1140</v>
      </c>
      <c r="K5">
        <v>46</v>
      </c>
      <c r="L5">
        <v>38</v>
      </c>
      <c r="M5">
        <v>28</v>
      </c>
      <c r="N5">
        <f t="shared" si="2"/>
        <v>1.0222222222222221</v>
      </c>
      <c r="O5">
        <f t="shared" si="3"/>
        <v>1.5333333333333334</v>
      </c>
    </row>
    <row r="6" spans="1:15" x14ac:dyDescent="0.25">
      <c r="A6" t="s">
        <v>1022</v>
      </c>
      <c r="B6" t="s">
        <v>1023</v>
      </c>
      <c r="C6" t="s">
        <v>1009</v>
      </c>
      <c r="D6" t="str">
        <f t="shared" si="0"/>
        <v>"BEAN",</v>
      </c>
      <c r="F6" t="s">
        <v>928</v>
      </c>
      <c r="G6" s="14" t="str">
        <f t="shared" si="1"/>
        <v>Bricks</v>
      </c>
      <c r="H6" s="14" t="s">
        <v>1122</v>
      </c>
      <c r="J6" t="s">
        <v>1141</v>
      </c>
      <c r="K6">
        <v>70</v>
      </c>
      <c r="L6">
        <v>38</v>
      </c>
      <c r="M6">
        <v>28</v>
      </c>
      <c r="N6">
        <f t="shared" si="2"/>
        <v>1.5555555555555556</v>
      </c>
      <c r="O6">
        <f t="shared" si="3"/>
        <v>2.3333333333333335</v>
      </c>
    </row>
    <row r="7" spans="1:15" x14ac:dyDescent="0.25">
      <c r="A7" t="s">
        <v>898</v>
      </c>
      <c r="B7" t="s">
        <v>963</v>
      </c>
      <c r="C7" t="s">
        <v>1024</v>
      </c>
      <c r="D7" t="str">
        <f t="shared" si="0"/>
        <v>"BEER",</v>
      </c>
      <c r="F7" t="s">
        <v>1089</v>
      </c>
      <c r="G7" s="14" t="str">
        <f t="shared" si="1"/>
        <v>Bubbles</v>
      </c>
      <c r="H7" s="14" t="s">
        <v>1130</v>
      </c>
      <c r="J7" t="s">
        <v>1142</v>
      </c>
      <c r="K7">
        <v>180</v>
      </c>
      <c r="L7">
        <v>38</v>
      </c>
      <c r="M7">
        <v>28</v>
      </c>
      <c r="N7">
        <f t="shared" si="2"/>
        <v>4</v>
      </c>
      <c r="O7">
        <f t="shared" si="3"/>
        <v>6</v>
      </c>
    </row>
    <row r="8" spans="1:15" x14ac:dyDescent="0.25">
      <c r="A8" t="s">
        <v>1026</v>
      </c>
      <c r="B8" t="s">
        <v>1027</v>
      </c>
      <c r="C8" t="s">
        <v>1028</v>
      </c>
      <c r="D8" t="str">
        <f t="shared" si="0"/>
        <v>"BOOM",</v>
      </c>
      <c r="F8" t="s">
        <v>1032</v>
      </c>
      <c r="G8" s="14" t="str">
        <f t="shared" si="1"/>
        <v>Ceramics</v>
      </c>
      <c r="H8" s="14" t="s">
        <v>1130</v>
      </c>
      <c r="J8" t="s">
        <v>1143</v>
      </c>
      <c r="K8">
        <v>180</v>
      </c>
      <c r="L8">
        <v>38</v>
      </c>
      <c r="M8">
        <v>28</v>
      </c>
      <c r="N8">
        <f t="shared" si="2"/>
        <v>4</v>
      </c>
      <c r="O8">
        <f t="shared" si="3"/>
        <v>6</v>
      </c>
    </row>
    <row r="9" spans="1:15" x14ac:dyDescent="0.25">
      <c r="A9" t="s">
        <v>928</v>
      </c>
      <c r="B9" t="s">
        <v>987</v>
      </c>
      <c r="C9" t="s">
        <v>1013</v>
      </c>
      <c r="D9" t="str">
        <f t="shared" si="0"/>
        <v>"BRCK",</v>
      </c>
      <c r="F9" t="s">
        <v>904</v>
      </c>
      <c r="G9" s="14" t="str">
        <f t="shared" si="1"/>
        <v>Copper</v>
      </c>
      <c r="H9" s="14" t="s">
        <v>1127</v>
      </c>
      <c r="J9" t="s">
        <v>1144</v>
      </c>
      <c r="K9">
        <v>116</v>
      </c>
      <c r="L9">
        <v>38</v>
      </c>
      <c r="M9">
        <v>22</v>
      </c>
      <c r="N9">
        <f t="shared" si="2"/>
        <v>2.5777777777777779</v>
      </c>
      <c r="O9">
        <f t="shared" si="3"/>
        <v>3.8666666666666667</v>
      </c>
    </row>
    <row r="10" spans="1:15" x14ac:dyDescent="0.25">
      <c r="A10" t="s">
        <v>1089</v>
      </c>
      <c r="B10" t="s">
        <v>1090</v>
      </c>
      <c r="C10" t="s">
        <v>1013</v>
      </c>
      <c r="D10" t="str">
        <f t="shared" si="0"/>
        <v>"BUBL",</v>
      </c>
      <c r="F10" t="s">
        <v>929</v>
      </c>
      <c r="G10" s="14" t="str">
        <f t="shared" si="1"/>
        <v>Cast Iron</v>
      </c>
      <c r="H10" s="14" t="s">
        <v>1127</v>
      </c>
    </row>
    <row r="11" spans="1:15" x14ac:dyDescent="0.25">
      <c r="A11" t="s">
        <v>943</v>
      </c>
      <c r="B11" t="s">
        <v>1000</v>
      </c>
      <c r="C11" t="s">
        <v>1009</v>
      </c>
      <c r="D11" t="str">
        <f t="shared" si="0"/>
        <v>"CASS",</v>
      </c>
      <c r="F11" t="s">
        <v>1094</v>
      </c>
      <c r="G11" s="14" t="str">
        <f t="shared" si="1"/>
        <v>Fizzy Drinks</v>
      </c>
      <c r="H11" s="14" t="s">
        <v>1130</v>
      </c>
    </row>
    <row r="12" spans="1:15" x14ac:dyDescent="0.25">
      <c r="A12" t="s">
        <v>1029</v>
      </c>
      <c r="B12" t="s">
        <v>1030</v>
      </c>
      <c r="C12" t="s">
        <v>1031</v>
      </c>
      <c r="D12" t="str">
        <f t="shared" si="0"/>
        <v>"CBLK",</v>
      </c>
      <c r="F12" t="s">
        <v>935</v>
      </c>
      <c r="G12" s="14" t="str">
        <f t="shared" si="1"/>
        <v>Iron</v>
      </c>
      <c r="H12" s="14" t="s">
        <v>1127</v>
      </c>
    </row>
    <row r="13" spans="1:15" x14ac:dyDescent="0.25">
      <c r="A13" t="s">
        <v>1032</v>
      </c>
      <c r="B13" t="s">
        <v>1033</v>
      </c>
      <c r="C13" t="s">
        <v>1013</v>
      </c>
      <c r="D13" t="str">
        <f t="shared" si="0"/>
        <v>"CERA",</v>
      </c>
      <c r="F13" t="s">
        <v>927</v>
      </c>
      <c r="G13" s="14" t="str">
        <f t="shared" si="1"/>
        <v>Coffee</v>
      </c>
      <c r="H13" s="14" t="s">
        <v>1130</v>
      </c>
    </row>
    <row r="14" spans="1:15" x14ac:dyDescent="0.25">
      <c r="A14" t="s">
        <v>911</v>
      </c>
      <c r="B14" t="s">
        <v>1004</v>
      </c>
      <c r="C14" t="s">
        <v>1034</v>
      </c>
      <c r="D14" t="str">
        <f t="shared" si="0"/>
        <v>"CERE",</v>
      </c>
      <c r="F14" t="s">
        <v>925</v>
      </c>
      <c r="G14" s="14" t="str">
        <f t="shared" si="1"/>
        <v>Metal</v>
      </c>
      <c r="H14" s="14" t="s">
        <v>1127</v>
      </c>
    </row>
    <row r="15" spans="1:15" x14ac:dyDescent="0.25">
      <c r="A15" t="s">
        <v>932</v>
      </c>
      <c r="B15" t="s">
        <v>988</v>
      </c>
      <c r="C15" t="s">
        <v>1037</v>
      </c>
      <c r="D15" t="str">
        <f t="shared" si="0"/>
        <v>"CHLO",</v>
      </c>
      <c r="F15" t="s">
        <v>1070</v>
      </c>
      <c r="G15" s="14" t="str">
        <f t="shared" si="1"/>
        <v>Nuts</v>
      </c>
      <c r="H15" s="14" t="s">
        <v>1130</v>
      </c>
    </row>
    <row r="16" spans="1:15" x14ac:dyDescent="0.25">
      <c r="A16" t="s">
        <v>892</v>
      </c>
      <c r="B16" t="s">
        <v>954</v>
      </c>
      <c r="C16" t="s">
        <v>1035</v>
      </c>
      <c r="D16" t="str">
        <f t="shared" si="0"/>
        <v>"CLAY",</v>
      </c>
      <c r="F16" t="s">
        <v>901</v>
      </c>
      <c r="G16" s="14" t="str">
        <f t="shared" si="1"/>
        <v>Paper</v>
      </c>
      <c r="H16" s="14" t="s">
        <v>1130</v>
      </c>
    </row>
    <row r="17" spans="1:8" x14ac:dyDescent="0.25">
      <c r="A17" t="s">
        <v>934</v>
      </c>
      <c r="B17" t="s">
        <v>995</v>
      </c>
      <c r="C17" t="s">
        <v>1035</v>
      </c>
      <c r="D17" t="str">
        <f t="shared" si="0"/>
        <v>"CMNT",</v>
      </c>
      <c r="F17" t="s">
        <v>1072</v>
      </c>
      <c r="G17" t="str">
        <f t="shared" si="1"/>
        <v>Pipe</v>
      </c>
      <c r="H17" t="s">
        <v>1123</v>
      </c>
    </row>
    <row r="18" spans="1:8" x14ac:dyDescent="0.25">
      <c r="A18" t="s">
        <v>784</v>
      </c>
      <c r="B18" t="s">
        <v>948</v>
      </c>
      <c r="C18" t="s">
        <v>1009</v>
      </c>
      <c r="D18" t="str">
        <f t="shared" si="0"/>
        <v>"COAL",</v>
      </c>
      <c r="F18" t="s">
        <v>1074</v>
      </c>
      <c r="G18" s="14" t="str">
        <f t="shared" si="1"/>
        <v>Electrical Equipment</v>
      </c>
      <c r="H18" s="14" t="s">
        <v>1130</v>
      </c>
    </row>
    <row r="19" spans="1:8" x14ac:dyDescent="0.25">
      <c r="A19" t="s">
        <v>933</v>
      </c>
      <c r="B19" t="s">
        <v>990</v>
      </c>
      <c r="C19" t="s">
        <v>1009</v>
      </c>
      <c r="D19" t="str">
        <f t="shared" si="0"/>
        <v>"COKE",</v>
      </c>
      <c r="F19" t="s">
        <v>1076</v>
      </c>
      <c r="G19" s="14" t="str">
        <f t="shared" si="1"/>
        <v>Alloy Steel</v>
      </c>
      <c r="H19" s="14" t="s">
        <v>1127</v>
      </c>
    </row>
    <row r="20" spans="1:8" x14ac:dyDescent="0.25">
      <c r="A20" t="s">
        <v>1091</v>
      </c>
      <c r="B20" t="s">
        <v>1092</v>
      </c>
      <c r="C20" t="s">
        <v>1011</v>
      </c>
      <c r="D20" t="str">
        <f t="shared" si="0"/>
        <v>"COLA",</v>
      </c>
      <c r="F20" t="s">
        <v>1078</v>
      </c>
      <c r="G20" s="14" t="str">
        <f t="shared" si="1"/>
        <v>Carbon Steel</v>
      </c>
      <c r="H20" s="14" t="s">
        <v>1127</v>
      </c>
    </row>
    <row r="21" spans="1:8" x14ac:dyDescent="0.25">
      <c r="A21" t="s">
        <v>904</v>
      </c>
      <c r="B21" t="s">
        <v>1036</v>
      </c>
      <c r="C21" t="s">
        <v>1013</v>
      </c>
      <c r="D21" t="str">
        <f t="shared" si="0"/>
        <v>"COPR",</v>
      </c>
      <c r="F21" t="s">
        <v>863</v>
      </c>
      <c r="G21" s="14" t="str">
        <f t="shared" si="1"/>
        <v>Steel</v>
      </c>
      <c r="H21" s="14" t="s">
        <v>1127</v>
      </c>
    </row>
    <row r="22" spans="1:8" x14ac:dyDescent="0.25">
      <c r="A22" t="s">
        <v>891</v>
      </c>
      <c r="B22" t="s">
        <v>953</v>
      </c>
      <c r="C22" t="s">
        <v>1009</v>
      </c>
      <c r="D22" t="str">
        <f t="shared" si="0"/>
        <v>"CORE",</v>
      </c>
      <c r="F22" t="s">
        <v>1080</v>
      </c>
      <c r="G22" s="14" t="str">
        <f t="shared" si="1"/>
        <v>Stainless Steel</v>
      </c>
      <c r="H22" s="14" t="s">
        <v>1127</v>
      </c>
    </row>
    <row r="23" spans="1:8" x14ac:dyDescent="0.25">
      <c r="A23" t="s">
        <v>929</v>
      </c>
      <c r="B23" t="s">
        <v>1005</v>
      </c>
      <c r="C23" t="s">
        <v>1013</v>
      </c>
      <c r="D23" t="str">
        <f t="shared" si="0"/>
        <v>"CSTI",</v>
      </c>
      <c r="F23" t="s">
        <v>1100</v>
      </c>
      <c r="G23" s="14" t="str">
        <f t="shared" si="1"/>
        <v>Toys</v>
      </c>
      <c r="H23" s="14" t="s">
        <v>1130</v>
      </c>
    </row>
    <row r="24" spans="1:8" x14ac:dyDescent="0.25">
      <c r="A24" t="s">
        <v>930</v>
      </c>
      <c r="B24" t="s">
        <v>1006</v>
      </c>
      <c r="C24" t="s">
        <v>1037</v>
      </c>
      <c r="D24" t="str">
        <f t="shared" si="0"/>
        <v>"CTAR",</v>
      </c>
      <c r="F24" t="s">
        <v>1062</v>
      </c>
      <c r="G24" t="str">
        <f t="shared" si="1"/>
        <v>Tyres</v>
      </c>
      <c r="H24" t="s">
        <v>1131</v>
      </c>
    </row>
    <row r="25" spans="1:8" x14ac:dyDescent="0.25">
      <c r="A25" t="s">
        <v>1093</v>
      </c>
      <c r="B25" t="s">
        <v>1107</v>
      </c>
      <c r="C25" t="s">
        <v>1009</v>
      </c>
      <c r="D25" t="str">
        <f t="shared" si="0"/>
        <v>"CTCD",</v>
      </c>
      <c r="F25" t="s">
        <v>1082</v>
      </c>
      <c r="G25" t="str">
        <f t="shared" si="1"/>
        <v>Vehicle Bodies</v>
      </c>
      <c r="H25" t="s">
        <v>1132</v>
      </c>
    </row>
    <row r="26" spans="1:8" x14ac:dyDescent="0.25">
      <c r="A26" t="s">
        <v>1020</v>
      </c>
      <c r="B26" t="s">
        <v>1021</v>
      </c>
      <c r="C26" t="s">
        <v>1015</v>
      </c>
      <c r="D26" t="str">
        <f t="shared" si="0"/>
        <v>"DIAM",</v>
      </c>
      <c r="F26" t="s">
        <v>1083</v>
      </c>
      <c r="G26" s="14" t="str">
        <f t="shared" si="1"/>
        <v>Vehicle Engines</v>
      </c>
      <c r="H26" s="14" t="s">
        <v>1130</v>
      </c>
    </row>
    <row r="27" spans="1:8" x14ac:dyDescent="0.25">
      <c r="A27" t="s">
        <v>905</v>
      </c>
      <c r="B27" t="s">
        <v>967</v>
      </c>
      <c r="C27" t="s">
        <v>1038</v>
      </c>
      <c r="D27" t="str">
        <f t="shared" si="0"/>
        <v>"DYES",</v>
      </c>
      <c r="F27" t="s">
        <v>463</v>
      </c>
      <c r="G27" s="14" t="str">
        <f t="shared" si="1"/>
        <v>Wood</v>
      </c>
      <c r="H27" s="14" t="s">
        <v>1124</v>
      </c>
    </row>
    <row r="28" spans="1:8" x14ac:dyDescent="0.25">
      <c r="A28" t="s">
        <v>897</v>
      </c>
      <c r="B28" t="s">
        <v>962</v>
      </c>
      <c r="C28" t="s">
        <v>1028</v>
      </c>
      <c r="D28" t="str">
        <f t="shared" si="0"/>
        <v>"ENSP",</v>
      </c>
      <c r="F28" t="s">
        <v>940</v>
      </c>
      <c r="G28" s="14" t="str">
        <f t="shared" si="1"/>
        <v>Zinc</v>
      </c>
      <c r="H28" s="14" t="s">
        <v>1127</v>
      </c>
    </row>
    <row r="29" spans="1:8" x14ac:dyDescent="0.25">
      <c r="A29" t="s">
        <v>1067</v>
      </c>
      <c r="B29" t="s">
        <v>1068</v>
      </c>
      <c r="C29" t="s">
        <v>1038</v>
      </c>
      <c r="D29" t="str">
        <f t="shared" si="0"/>
        <v>"EOIL",</v>
      </c>
      <c r="F29" t="s">
        <v>897</v>
      </c>
      <c r="G29" t="str">
        <f t="shared" si="1"/>
        <v>Engineering Supplies</v>
      </c>
      <c r="H29" t="s">
        <v>1125</v>
      </c>
    </row>
    <row r="30" spans="1:8" x14ac:dyDescent="0.25">
      <c r="A30" t="s">
        <v>1039</v>
      </c>
      <c r="B30" t="s">
        <v>1040</v>
      </c>
      <c r="C30" t="s">
        <v>1009</v>
      </c>
      <c r="D30" t="str">
        <f t="shared" si="0"/>
        <v>"FECR",</v>
      </c>
      <c r="F30" t="s">
        <v>896</v>
      </c>
      <c r="G30" t="str">
        <f t="shared" si="1"/>
        <v>Farm Supplies</v>
      </c>
      <c r="H30" t="s">
        <v>1126</v>
      </c>
    </row>
    <row r="31" spans="1:8" x14ac:dyDescent="0.25">
      <c r="A31" t="s">
        <v>1041</v>
      </c>
      <c r="B31" t="s">
        <v>1042</v>
      </c>
      <c r="C31" t="s">
        <v>1043</v>
      </c>
      <c r="D31" t="str">
        <f t="shared" si="0"/>
        <v>"FERT",</v>
      </c>
      <c r="F31" t="s">
        <v>1085</v>
      </c>
      <c r="G31" s="14" t="str">
        <f t="shared" si="1"/>
        <v>Vehicle Parts</v>
      </c>
      <c r="H31" s="14" t="s">
        <v>1130</v>
      </c>
    </row>
    <row r="32" spans="1:8" x14ac:dyDescent="0.25">
      <c r="A32" t="s">
        <v>912</v>
      </c>
      <c r="B32" t="s">
        <v>1001</v>
      </c>
      <c r="C32" t="s">
        <v>1043</v>
      </c>
      <c r="D32" t="str">
        <f t="shared" si="0"/>
        <v>"FICR",</v>
      </c>
      <c r="F32" t="s">
        <v>902</v>
      </c>
      <c r="G32" t="str">
        <f t="shared" si="1"/>
        <v>Timber</v>
      </c>
      <c r="H32" t="s">
        <v>1128</v>
      </c>
    </row>
    <row r="33" spans="1:8" x14ac:dyDescent="0.25">
      <c r="A33" t="s">
        <v>910</v>
      </c>
      <c r="B33" t="s">
        <v>972</v>
      </c>
      <c r="C33" t="s">
        <v>1016</v>
      </c>
      <c r="D33" t="str">
        <f t="shared" si="0"/>
        <v>"FISH",</v>
      </c>
      <c r="F33" t="s">
        <v>908</v>
      </c>
      <c r="G33" s="14" t="str">
        <f t="shared" si="1"/>
        <v>Plastics</v>
      </c>
      <c r="H33" s="14" t="s">
        <v>1130</v>
      </c>
    </row>
    <row r="34" spans="1:8" x14ac:dyDescent="0.25">
      <c r="A34" t="s">
        <v>896</v>
      </c>
      <c r="B34" t="s">
        <v>961</v>
      </c>
      <c r="C34" t="s">
        <v>1028</v>
      </c>
      <c r="D34" t="str">
        <f t="shared" ref="D34:D65" si="4">CONCATENATE("""", A34, """,")</f>
        <v>"FMSP",</v>
      </c>
      <c r="F34" t="s">
        <v>905</v>
      </c>
      <c r="G34" s="14" t="str">
        <f t="shared" si="1"/>
        <v>Dyes</v>
      </c>
      <c r="H34" s="14" t="s">
        <v>1130</v>
      </c>
    </row>
    <row r="35" spans="1:8" x14ac:dyDescent="0.25">
      <c r="A35" t="s">
        <v>895</v>
      </c>
      <c r="B35" t="s">
        <v>959</v>
      </c>
      <c r="C35" t="s">
        <v>1016</v>
      </c>
      <c r="D35" t="str">
        <f t="shared" si="4"/>
        <v>"FOOD",</v>
      </c>
      <c r="F35" t="s">
        <v>903</v>
      </c>
      <c r="G35" t="str">
        <f t="shared" si="1"/>
        <v>Vehicles</v>
      </c>
      <c r="H35" t="s">
        <v>1129</v>
      </c>
    </row>
    <row r="36" spans="1:8" x14ac:dyDescent="0.25">
      <c r="A36" t="s">
        <v>914</v>
      </c>
      <c r="B36" t="s">
        <v>978</v>
      </c>
      <c r="C36" t="s">
        <v>1019</v>
      </c>
      <c r="D36" t="str">
        <f t="shared" si="4"/>
        <v>"FRUT",</v>
      </c>
      <c r="F36" t="s">
        <v>912</v>
      </c>
      <c r="G36" s="14" t="str">
        <f t="shared" si="1"/>
        <v>Fibre Crops</v>
      </c>
      <c r="H36" s="14" t="s">
        <v>1130</v>
      </c>
    </row>
    <row r="37" spans="1:8" x14ac:dyDescent="0.25">
      <c r="A37" t="s">
        <v>913</v>
      </c>
      <c r="B37" t="s">
        <v>1002</v>
      </c>
      <c r="C37" t="s">
        <v>1104</v>
      </c>
      <c r="D37" t="str">
        <f t="shared" si="4"/>
        <v>"FRVG",</v>
      </c>
      <c r="F37" t="s">
        <v>900</v>
      </c>
      <c r="G37" s="14" t="str">
        <f t="shared" si="1"/>
        <v>Packaging</v>
      </c>
      <c r="H37" s="14" t="s">
        <v>1130</v>
      </c>
    </row>
    <row r="38" spans="1:8" x14ac:dyDescent="0.25">
      <c r="A38" t="s">
        <v>1094</v>
      </c>
      <c r="B38" t="s">
        <v>1095</v>
      </c>
      <c r="C38" t="s">
        <v>1013</v>
      </c>
      <c r="D38" t="str">
        <f t="shared" si="4"/>
        <v>"FZDR",</v>
      </c>
      <c r="F38" t="s">
        <v>1158</v>
      </c>
      <c r="G38" t="str">
        <f t="shared" si="1"/>
        <v>Steel Sheet</v>
      </c>
    </row>
    <row r="39" spans="1:8" x14ac:dyDescent="0.25">
      <c r="A39" t="s">
        <v>1017</v>
      </c>
      <c r="B39" t="s">
        <v>1018</v>
      </c>
      <c r="C39" t="s">
        <v>1015</v>
      </c>
      <c r="D39" t="str">
        <f t="shared" si="4"/>
        <v>"GOLD",</v>
      </c>
      <c r="F39" t="s">
        <v>1160</v>
      </c>
      <c r="G39" t="str">
        <f t="shared" si="1"/>
        <v>Steel Wire Rod</v>
      </c>
    </row>
    <row r="40" spans="1:8" x14ac:dyDescent="0.25">
      <c r="A40" t="s">
        <v>329</v>
      </c>
      <c r="B40" t="s">
        <v>958</v>
      </c>
      <c r="C40" t="s">
        <v>1014</v>
      </c>
      <c r="D40" t="str">
        <f t="shared" si="4"/>
        <v>"GOOD",</v>
      </c>
      <c r="F40" t="s">
        <v>1157</v>
      </c>
      <c r="G40" t="str">
        <f t="shared" si="1"/>
        <v>Rebar</v>
      </c>
    </row>
    <row r="41" spans="1:8" x14ac:dyDescent="0.25">
      <c r="A41" t="s">
        <v>915</v>
      </c>
      <c r="B41" t="s">
        <v>977</v>
      </c>
      <c r="C41" t="s">
        <v>1009</v>
      </c>
      <c r="D41" t="str">
        <f t="shared" si="4"/>
        <v>"GRAI",</v>
      </c>
      <c r="F41" s="14" t="s">
        <v>1148</v>
      </c>
      <c r="G41" s="14" t="str">
        <f t="shared" si="1"/>
        <v>Cleaning Agents</v>
      </c>
      <c r="H41" s="14" t="s">
        <v>1130</v>
      </c>
    </row>
    <row r="42" spans="1:8" x14ac:dyDescent="0.25">
      <c r="A42" t="s">
        <v>888</v>
      </c>
      <c r="B42" t="s">
        <v>950</v>
      </c>
      <c r="C42" t="s">
        <v>1009</v>
      </c>
      <c r="D42" t="str">
        <f t="shared" si="4"/>
        <v>"GRVL",</v>
      </c>
      <c r="F42" s="14" t="s">
        <v>1155</v>
      </c>
      <c r="G42" s="14" t="str">
        <f t="shared" si="1"/>
        <v>Paints and coatings</v>
      </c>
      <c r="H42" s="14" t="s">
        <v>1130</v>
      </c>
    </row>
    <row r="43" spans="1:8" x14ac:dyDescent="0.25">
      <c r="A43" t="s">
        <v>887</v>
      </c>
      <c r="B43" t="s">
        <v>949</v>
      </c>
      <c r="C43" t="s">
        <v>1009</v>
      </c>
      <c r="D43" t="str">
        <f t="shared" si="4"/>
        <v>"IORE",</v>
      </c>
    </row>
    <row r="44" spans="1:8" x14ac:dyDescent="0.25">
      <c r="A44" t="s">
        <v>935</v>
      </c>
      <c r="B44" t="s">
        <v>991</v>
      </c>
      <c r="C44" t="s">
        <v>1013</v>
      </c>
      <c r="D44" t="str">
        <f t="shared" si="4"/>
        <v>"IRON",</v>
      </c>
    </row>
    <row r="45" spans="1:8" x14ac:dyDescent="0.25">
      <c r="A45" t="s">
        <v>927</v>
      </c>
      <c r="B45" t="s">
        <v>986</v>
      </c>
      <c r="C45" t="s">
        <v>1013</v>
      </c>
      <c r="D45" t="str">
        <f t="shared" si="4"/>
        <v>"JAVA",</v>
      </c>
    </row>
    <row r="46" spans="1:8" x14ac:dyDescent="0.25">
      <c r="A46" t="s">
        <v>1045</v>
      </c>
      <c r="B46" t="s">
        <v>1105</v>
      </c>
      <c r="C46" t="s">
        <v>1046</v>
      </c>
      <c r="D46" t="str">
        <f t="shared" si="4"/>
        <v>"KAOL",</v>
      </c>
    </row>
    <row r="47" spans="1:8" x14ac:dyDescent="0.25">
      <c r="A47" t="s">
        <v>894</v>
      </c>
      <c r="B47" t="s">
        <v>957</v>
      </c>
      <c r="C47" t="s">
        <v>1009</v>
      </c>
      <c r="D47" t="str">
        <f t="shared" si="4"/>
        <v>"LIME",</v>
      </c>
    </row>
    <row r="48" spans="1:8" x14ac:dyDescent="0.25">
      <c r="A48" t="s">
        <v>823</v>
      </c>
      <c r="B48" t="s">
        <v>976</v>
      </c>
      <c r="C48" t="s">
        <v>1013</v>
      </c>
      <c r="D48" t="str">
        <f t="shared" si="4"/>
        <v>"LVST",</v>
      </c>
    </row>
    <row r="49" spans="1:4" x14ac:dyDescent="0.25">
      <c r="A49" t="s">
        <v>711</v>
      </c>
      <c r="B49" t="s">
        <v>947</v>
      </c>
      <c r="C49" t="s">
        <v>1010</v>
      </c>
      <c r="D49" t="str">
        <f t="shared" si="4"/>
        <v>"MAIL",</v>
      </c>
    </row>
    <row r="50" spans="1:4" x14ac:dyDescent="0.25">
      <c r="A50" t="s">
        <v>916</v>
      </c>
      <c r="B50" t="s">
        <v>975</v>
      </c>
      <c r="C50" t="s">
        <v>1009</v>
      </c>
      <c r="D50" t="str">
        <f t="shared" si="4"/>
        <v>"MAIZ",</v>
      </c>
    </row>
    <row r="51" spans="1:4" x14ac:dyDescent="0.25">
      <c r="A51" t="s">
        <v>925</v>
      </c>
      <c r="B51" t="s">
        <v>984</v>
      </c>
      <c r="C51" t="s">
        <v>1013</v>
      </c>
      <c r="D51" t="str">
        <f t="shared" si="4"/>
        <v>"METL",</v>
      </c>
    </row>
    <row r="52" spans="1:4" x14ac:dyDescent="0.25">
      <c r="A52" t="s">
        <v>917</v>
      </c>
      <c r="B52" t="s">
        <v>973</v>
      </c>
      <c r="C52" t="s">
        <v>1047</v>
      </c>
      <c r="D52" t="str">
        <f t="shared" si="4"/>
        <v>"MILK",</v>
      </c>
    </row>
    <row r="53" spans="1:4" x14ac:dyDescent="0.25">
      <c r="A53" t="s">
        <v>944</v>
      </c>
      <c r="B53" t="s">
        <v>996</v>
      </c>
      <c r="C53" t="s">
        <v>1009</v>
      </c>
      <c r="D53" t="str">
        <f t="shared" si="4"/>
        <v>"MNO2",</v>
      </c>
    </row>
    <row r="54" spans="1:4" x14ac:dyDescent="0.25">
      <c r="A54" t="s">
        <v>900</v>
      </c>
      <c r="B54" t="s">
        <v>1145</v>
      </c>
      <c r="C54" t="s">
        <v>1069</v>
      </c>
      <c r="D54" t="str">
        <f t="shared" si="4"/>
        <v>"MNSP",</v>
      </c>
    </row>
    <row r="55" spans="1:4" x14ac:dyDescent="0.25">
      <c r="A55" t="s">
        <v>1048</v>
      </c>
      <c r="B55" t="s">
        <v>1049</v>
      </c>
      <c r="C55" t="s">
        <v>1009</v>
      </c>
      <c r="D55" t="str">
        <f t="shared" si="4"/>
        <v>"NITR",</v>
      </c>
    </row>
    <row r="56" spans="1:4" x14ac:dyDescent="0.25">
      <c r="A56" t="s">
        <v>1070</v>
      </c>
      <c r="B56" t="s">
        <v>1071</v>
      </c>
      <c r="C56" t="s">
        <v>1013</v>
      </c>
      <c r="D56" t="str">
        <f t="shared" si="4"/>
        <v>"NUTS",</v>
      </c>
    </row>
    <row r="57" spans="1:4" x14ac:dyDescent="0.25">
      <c r="A57" t="s">
        <v>327</v>
      </c>
      <c r="B57" t="s">
        <v>968</v>
      </c>
      <c r="C57" t="s">
        <v>1011</v>
      </c>
      <c r="D57" t="str">
        <f t="shared" si="4"/>
        <v>"OIL_",</v>
      </c>
    </row>
    <row r="58" spans="1:4" x14ac:dyDescent="0.25">
      <c r="A58" t="s">
        <v>923</v>
      </c>
      <c r="B58" t="s">
        <v>1003</v>
      </c>
      <c r="C58" t="s">
        <v>1034</v>
      </c>
      <c r="D58" t="str">
        <f t="shared" si="4"/>
        <v>"OLSD",</v>
      </c>
    </row>
    <row r="59" spans="1:4" x14ac:dyDescent="0.25">
      <c r="A59" t="s">
        <v>901</v>
      </c>
      <c r="B59" t="s">
        <v>965</v>
      </c>
      <c r="C59" t="s">
        <v>1013</v>
      </c>
      <c r="D59" t="str">
        <f t="shared" si="4"/>
        <v>"PAPR",</v>
      </c>
    </row>
    <row r="60" spans="1:4" x14ac:dyDescent="0.25">
      <c r="A60" t="s">
        <v>326</v>
      </c>
      <c r="B60" t="s">
        <v>945</v>
      </c>
      <c r="C60" t="s">
        <v>1008</v>
      </c>
      <c r="D60" t="str">
        <f t="shared" si="4"/>
        <v>"PASS",</v>
      </c>
    </row>
    <row r="61" spans="1:4" x14ac:dyDescent="0.25">
      <c r="A61" t="s">
        <v>1050</v>
      </c>
      <c r="B61" t="s">
        <v>1051</v>
      </c>
      <c r="C61" t="s">
        <v>1009</v>
      </c>
      <c r="D61" t="str">
        <f t="shared" si="4"/>
        <v>"PEAT",</v>
      </c>
    </row>
    <row r="62" spans="1:4" x14ac:dyDescent="0.25">
      <c r="A62" t="s">
        <v>907</v>
      </c>
      <c r="B62" t="s">
        <v>969</v>
      </c>
      <c r="C62" t="s">
        <v>1011</v>
      </c>
      <c r="D62" t="str">
        <f t="shared" si="4"/>
        <v>"PETR",</v>
      </c>
    </row>
    <row r="63" spans="1:4" x14ac:dyDescent="0.25">
      <c r="A63" t="s">
        <v>1052</v>
      </c>
      <c r="B63" t="s">
        <v>1053</v>
      </c>
      <c r="C63" t="s">
        <v>1009</v>
      </c>
      <c r="D63" t="str">
        <f t="shared" si="4"/>
        <v>"PHOS",</v>
      </c>
    </row>
    <row r="64" spans="1:4" x14ac:dyDescent="0.25">
      <c r="A64" t="s">
        <v>1072</v>
      </c>
      <c r="B64" t="s">
        <v>1073</v>
      </c>
      <c r="C64" t="s">
        <v>1013</v>
      </c>
      <c r="D64" t="str">
        <f t="shared" si="4"/>
        <v>"PIPE",</v>
      </c>
    </row>
    <row r="65" spans="1:4" x14ac:dyDescent="0.25">
      <c r="A65" t="s">
        <v>908</v>
      </c>
      <c r="B65" t="s">
        <v>970</v>
      </c>
      <c r="C65" t="s">
        <v>1055</v>
      </c>
      <c r="D65" t="str">
        <f t="shared" si="4"/>
        <v>"PLAS",</v>
      </c>
    </row>
    <row r="66" spans="1:4" x14ac:dyDescent="0.25">
      <c r="A66" t="s">
        <v>1096</v>
      </c>
      <c r="B66" t="s">
        <v>1054</v>
      </c>
      <c r="C66" t="s">
        <v>1011</v>
      </c>
      <c r="D66" t="str">
        <f t="shared" ref="D66:D97" si="5">CONCATENATE("""", A66, """,")</f>
        <v>"PLST",</v>
      </c>
    </row>
    <row r="67" spans="1:4" x14ac:dyDescent="0.25">
      <c r="A67" t="s">
        <v>1056</v>
      </c>
      <c r="B67" t="s">
        <v>1057</v>
      </c>
      <c r="C67" t="s">
        <v>1009</v>
      </c>
      <c r="D67" t="str">
        <f t="shared" si="5"/>
        <v>"PORE",</v>
      </c>
    </row>
    <row r="68" spans="1:4" x14ac:dyDescent="0.25">
      <c r="A68" t="s">
        <v>1058</v>
      </c>
      <c r="B68" t="s">
        <v>1059</v>
      </c>
      <c r="C68" t="s">
        <v>1034</v>
      </c>
      <c r="D68" t="str">
        <f t="shared" si="5"/>
        <v>"POTA",</v>
      </c>
    </row>
    <row r="69" spans="1:4" x14ac:dyDescent="0.25">
      <c r="A69" t="s">
        <v>1074</v>
      </c>
      <c r="B69" t="s">
        <v>1152</v>
      </c>
      <c r="C69" t="s">
        <v>1013</v>
      </c>
      <c r="D69" t="str">
        <f t="shared" si="5"/>
        <v>"POWR",</v>
      </c>
    </row>
    <row r="70" spans="1:4" x14ac:dyDescent="0.25">
      <c r="A70" t="s">
        <v>936</v>
      </c>
      <c r="B70" t="s">
        <v>997</v>
      </c>
      <c r="C70" t="s">
        <v>1034</v>
      </c>
      <c r="D70" t="str">
        <f t="shared" si="5"/>
        <v>"QLME",</v>
      </c>
    </row>
    <row r="71" spans="1:4" x14ac:dyDescent="0.25">
      <c r="A71" t="s">
        <v>942</v>
      </c>
      <c r="B71" t="s">
        <v>999</v>
      </c>
      <c r="C71" t="s">
        <v>1075</v>
      </c>
      <c r="D71" t="str">
        <f t="shared" si="5"/>
        <v>"RCYC",</v>
      </c>
    </row>
    <row r="72" spans="1:4" x14ac:dyDescent="0.25">
      <c r="A72" t="s">
        <v>906</v>
      </c>
      <c r="B72" t="s">
        <v>1151</v>
      </c>
      <c r="C72" t="s">
        <v>1011</v>
      </c>
      <c r="D72" t="str">
        <f t="shared" si="5"/>
        <v>"RFPR",</v>
      </c>
    </row>
    <row r="73" spans="1:4" x14ac:dyDescent="0.25">
      <c r="A73" t="s">
        <v>918</v>
      </c>
      <c r="B73" t="s">
        <v>979</v>
      </c>
      <c r="C73" t="s">
        <v>1011</v>
      </c>
      <c r="D73" t="str">
        <f t="shared" si="5"/>
        <v>"RUBR",</v>
      </c>
    </row>
    <row r="74" spans="1:4" x14ac:dyDescent="0.25">
      <c r="A74" t="s">
        <v>937</v>
      </c>
      <c r="B74" t="s">
        <v>992</v>
      </c>
      <c r="C74" t="s">
        <v>1009</v>
      </c>
      <c r="D74" t="str">
        <f t="shared" si="5"/>
        <v>"SALT",</v>
      </c>
    </row>
    <row r="75" spans="1:4" x14ac:dyDescent="0.25">
      <c r="A75" t="s">
        <v>889</v>
      </c>
      <c r="B75" t="s">
        <v>951</v>
      </c>
      <c r="C75" t="s">
        <v>1009</v>
      </c>
      <c r="D75" t="str">
        <f t="shared" si="5"/>
        <v>"SAND",</v>
      </c>
    </row>
    <row r="76" spans="1:4" x14ac:dyDescent="0.25">
      <c r="A76" t="s">
        <v>938</v>
      </c>
      <c r="B76" t="s">
        <v>1007</v>
      </c>
      <c r="C76" t="s">
        <v>1034</v>
      </c>
      <c r="D76" t="str">
        <f t="shared" si="5"/>
        <v>"SASH",</v>
      </c>
    </row>
    <row r="77" spans="1:4" x14ac:dyDescent="0.25">
      <c r="A77" t="s">
        <v>893</v>
      </c>
      <c r="B77" t="s">
        <v>955</v>
      </c>
      <c r="C77" t="s">
        <v>1060</v>
      </c>
      <c r="D77" t="str">
        <f t="shared" si="5"/>
        <v>"SCMT",</v>
      </c>
    </row>
    <row r="78" spans="1:4" x14ac:dyDescent="0.25">
      <c r="A78" t="s">
        <v>919</v>
      </c>
      <c r="B78" t="s">
        <v>980</v>
      </c>
      <c r="C78" t="s">
        <v>1009</v>
      </c>
      <c r="D78" t="str">
        <f t="shared" si="5"/>
        <v>"SGBT",</v>
      </c>
    </row>
    <row r="79" spans="1:4" x14ac:dyDescent="0.25">
      <c r="A79" t="s">
        <v>920</v>
      </c>
      <c r="B79" t="s">
        <v>981</v>
      </c>
      <c r="C79" t="s">
        <v>1060</v>
      </c>
      <c r="D79" t="str">
        <f t="shared" si="5"/>
        <v>"SGCN",</v>
      </c>
    </row>
    <row r="80" spans="1:4" x14ac:dyDescent="0.25">
      <c r="A80" t="s">
        <v>941</v>
      </c>
      <c r="B80" t="s">
        <v>994</v>
      </c>
      <c r="C80" t="s">
        <v>1009</v>
      </c>
      <c r="D80" t="str">
        <f t="shared" si="5"/>
        <v>"SLAG",</v>
      </c>
    </row>
    <row r="81" spans="1:4" x14ac:dyDescent="0.25">
      <c r="A81" t="s">
        <v>1076</v>
      </c>
      <c r="B81" t="s">
        <v>1077</v>
      </c>
      <c r="C81" t="s">
        <v>1013</v>
      </c>
      <c r="D81" t="str">
        <f t="shared" si="5"/>
        <v>"STAL",</v>
      </c>
    </row>
    <row r="82" spans="1:4" x14ac:dyDescent="0.25">
      <c r="A82" t="s">
        <v>1078</v>
      </c>
      <c r="B82" t="s">
        <v>1079</v>
      </c>
      <c r="C82" t="s">
        <v>1013</v>
      </c>
      <c r="D82" t="str">
        <f t="shared" si="5"/>
        <v>"STCB",</v>
      </c>
    </row>
    <row r="83" spans="1:4" x14ac:dyDescent="0.25">
      <c r="A83" t="s">
        <v>863</v>
      </c>
      <c r="B83" t="s">
        <v>960</v>
      </c>
      <c r="C83" t="s">
        <v>1013</v>
      </c>
      <c r="D83" t="str">
        <f t="shared" si="5"/>
        <v>"STEL",</v>
      </c>
    </row>
    <row r="84" spans="1:4" x14ac:dyDescent="0.25">
      <c r="A84" t="s">
        <v>1080</v>
      </c>
      <c r="B84" t="s">
        <v>1081</v>
      </c>
      <c r="C84" t="s">
        <v>1013</v>
      </c>
      <c r="D84" t="str">
        <f t="shared" si="5"/>
        <v>"STST",</v>
      </c>
    </row>
    <row r="85" spans="1:4" x14ac:dyDescent="0.25">
      <c r="A85" t="s">
        <v>924</v>
      </c>
      <c r="B85" t="s">
        <v>983</v>
      </c>
      <c r="C85" t="s">
        <v>1009</v>
      </c>
      <c r="D85" t="str">
        <f t="shared" si="5"/>
        <v>"SUGR",</v>
      </c>
    </row>
    <row r="86" spans="1:4" x14ac:dyDescent="0.25">
      <c r="A86" t="s">
        <v>939</v>
      </c>
      <c r="B86" t="s">
        <v>998</v>
      </c>
      <c r="C86" t="s">
        <v>1034</v>
      </c>
      <c r="D86" t="str">
        <f t="shared" si="5"/>
        <v>"SULP",</v>
      </c>
    </row>
    <row r="87" spans="1:4" x14ac:dyDescent="0.25">
      <c r="A87" t="s">
        <v>1097</v>
      </c>
      <c r="B87" t="s">
        <v>1108</v>
      </c>
      <c r="C87" t="s">
        <v>1014</v>
      </c>
      <c r="D87" t="str">
        <f t="shared" si="5"/>
        <v>"SWET",</v>
      </c>
    </row>
    <row r="88" spans="1:4" x14ac:dyDescent="0.25">
      <c r="A88" t="s">
        <v>1098</v>
      </c>
      <c r="B88" t="s">
        <v>1099</v>
      </c>
      <c r="C88" t="s">
        <v>1009</v>
      </c>
      <c r="D88" t="str">
        <f t="shared" si="5"/>
        <v>"TOFF",</v>
      </c>
    </row>
    <row r="89" spans="1:4" x14ac:dyDescent="0.25">
      <c r="A89" t="s">
        <v>886</v>
      </c>
      <c r="B89" t="s">
        <v>946</v>
      </c>
      <c r="C89" t="s">
        <v>1061</v>
      </c>
      <c r="D89" t="str">
        <f t="shared" si="5"/>
        <v>"TOUR",</v>
      </c>
    </row>
    <row r="90" spans="1:4" x14ac:dyDescent="0.25">
      <c r="A90" t="s">
        <v>1100</v>
      </c>
      <c r="B90" t="s">
        <v>1101</v>
      </c>
      <c r="C90" t="s">
        <v>1013</v>
      </c>
      <c r="D90" t="str">
        <f t="shared" si="5"/>
        <v>"TOYS",</v>
      </c>
    </row>
    <row r="91" spans="1:4" x14ac:dyDescent="0.25">
      <c r="A91" t="s">
        <v>1062</v>
      </c>
      <c r="B91" t="s">
        <v>1063</v>
      </c>
      <c r="C91" t="s">
        <v>1013</v>
      </c>
      <c r="D91" t="str">
        <f t="shared" si="5"/>
        <v>"TYRE",</v>
      </c>
    </row>
    <row r="92" spans="1:4" x14ac:dyDescent="0.25">
      <c r="A92" t="s">
        <v>1064</v>
      </c>
      <c r="B92" t="s">
        <v>1065</v>
      </c>
      <c r="C92" t="s">
        <v>1066</v>
      </c>
      <c r="D92" t="str">
        <f t="shared" si="5"/>
        <v>"URAN",</v>
      </c>
    </row>
    <row r="93" spans="1:4" x14ac:dyDescent="0.25">
      <c r="A93" t="s">
        <v>926</v>
      </c>
      <c r="B93" t="s">
        <v>985</v>
      </c>
      <c r="C93" t="s">
        <v>1015</v>
      </c>
      <c r="D93" t="str">
        <f t="shared" si="5"/>
        <v>"VALU",</v>
      </c>
    </row>
    <row r="94" spans="1:4" x14ac:dyDescent="0.25">
      <c r="A94" t="s">
        <v>1082</v>
      </c>
      <c r="B94" t="s">
        <v>1106</v>
      </c>
      <c r="C94" t="s">
        <v>1013</v>
      </c>
      <c r="D94" t="str">
        <f t="shared" si="5"/>
        <v>"VBOD",</v>
      </c>
    </row>
    <row r="95" spans="1:4" x14ac:dyDescent="0.25">
      <c r="A95" t="s">
        <v>903</v>
      </c>
      <c r="B95" t="s">
        <v>966</v>
      </c>
      <c r="C95" t="s">
        <v>1044</v>
      </c>
      <c r="D95" t="str">
        <f t="shared" si="5"/>
        <v>"VEHI",</v>
      </c>
    </row>
    <row r="96" spans="1:4" x14ac:dyDescent="0.25">
      <c r="A96" t="s">
        <v>1083</v>
      </c>
      <c r="B96" t="s">
        <v>1084</v>
      </c>
      <c r="C96" t="s">
        <v>1013</v>
      </c>
      <c r="D96" t="str">
        <f t="shared" si="5"/>
        <v>"VENG",</v>
      </c>
    </row>
    <row r="97" spans="1:4" x14ac:dyDescent="0.25">
      <c r="A97" t="s">
        <v>1085</v>
      </c>
      <c r="B97" t="s">
        <v>1086</v>
      </c>
      <c r="C97" t="s">
        <v>1069</v>
      </c>
      <c r="D97" t="str">
        <f t="shared" si="5"/>
        <v>"VPTS",</v>
      </c>
    </row>
    <row r="98" spans="1:4" x14ac:dyDescent="0.25">
      <c r="A98" t="s">
        <v>909</v>
      </c>
      <c r="B98" t="s">
        <v>971</v>
      </c>
      <c r="C98" t="s">
        <v>1011</v>
      </c>
      <c r="D98" t="str">
        <f t="shared" ref="D98:D112" si="6">CONCATENATE("""", A98, """,")</f>
        <v>"WATR",</v>
      </c>
    </row>
    <row r="99" spans="1:4" x14ac:dyDescent="0.25">
      <c r="A99" t="s">
        <v>902</v>
      </c>
      <c r="B99" t="s">
        <v>1120</v>
      </c>
      <c r="C99" t="s">
        <v>1043</v>
      </c>
      <c r="D99" t="str">
        <f t="shared" si="6"/>
        <v>"WDPR",</v>
      </c>
    </row>
    <row r="100" spans="1:4" x14ac:dyDescent="0.25">
      <c r="A100" t="s">
        <v>921</v>
      </c>
      <c r="B100" t="s">
        <v>982</v>
      </c>
      <c r="C100" t="s">
        <v>1009</v>
      </c>
      <c r="D100" t="str">
        <f t="shared" si="6"/>
        <v>"WHEA",</v>
      </c>
    </row>
    <row r="101" spans="1:4" x14ac:dyDescent="0.25">
      <c r="A101" t="s">
        <v>463</v>
      </c>
      <c r="B101" t="s">
        <v>956</v>
      </c>
      <c r="C101" t="s">
        <v>1013</v>
      </c>
      <c r="D101" t="str">
        <f t="shared" si="6"/>
        <v>"WOOD",</v>
      </c>
    </row>
    <row r="102" spans="1:4" x14ac:dyDescent="0.25">
      <c r="A102" t="s">
        <v>922</v>
      </c>
      <c r="B102" t="s">
        <v>974</v>
      </c>
      <c r="C102" t="s">
        <v>1025</v>
      </c>
      <c r="D102" t="str">
        <f t="shared" si="6"/>
        <v>"WOOL",</v>
      </c>
    </row>
    <row r="103" spans="1:4" x14ac:dyDescent="0.25">
      <c r="A103" t="s">
        <v>1012</v>
      </c>
      <c r="B103" t="s">
        <v>1109</v>
      </c>
      <c r="C103" t="s">
        <v>1102</v>
      </c>
      <c r="D103" t="str">
        <f t="shared" si="6"/>
        <v>"YETI",</v>
      </c>
    </row>
    <row r="104" spans="1:4" x14ac:dyDescent="0.25">
      <c r="A104" t="s">
        <v>1103</v>
      </c>
      <c r="B104" t="s">
        <v>1110</v>
      </c>
      <c r="C104" t="s">
        <v>1102</v>
      </c>
      <c r="D104" t="str">
        <f t="shared" si="6"/>
        <v>"YETY",</v>
      </c>
    </row>
    <row r="105" spans="1:4" x14ac:dyDescent="0.25">
      <c r="A105" t="s">
        <v>940</v>
      </c>
      <c r="B105" t="s">
        <v>993</v>
      </c>
      <c r="C105" t="s">
        <v>1013</v>
      </c>
      <c r="D105" t="str">
        <f t="shared" si="6"/>
        <v>"ZINC",</v>
      </c>
    </row>
    <row r="106" spans="1:4" x14ac:dyDescent="0.25">
      <c r="A106" t="s">
        <v>1148</v>
      </c>
      <c r="B106" t="s">
        <v>1147</v>
      </c>
      <c r="C106" t="s">
        <v>1055</v>
      </c>
      <c r="D106" t="str">
        <f t="shared" si="6"/>
        <v>"SOAP",</v>
      </c>
    </row>
    <row r="107" spans="1:4" x14ac:dyDescent="0.25">
      <c r="A107" t="s">
        <v>1149</v>
      </c>
      <c r="B107" t="s">
        <v>1150</v>
      </c>
      <c r="C107" t="s">
        <v>1037</v>
      </c>
      <c r="D107" t="str">
        <f t="shared" si="6"/>
        <v>"NH3_",</v>
      </c>
    </row>
    <row r="108" spans="1:4" x14ac:dyDescent="0.25">
      <c r="A108" t="s">
        <v>1153</v>
      </c>
      <c r="B108" t="s">
        <v>1154</v>
      </c>
      <c r="C108" t="s">
        <v>1037</v>
      </c>
      <c r="D108" t="str">
        <f t="shared" si="6"/>
        <v>"O2__",</v>
      </c>
    </row>
    <row r="109" spans="1:4" x14ac:dyDescent="0.25">
      <c r="A109" t="s">
        <v>1155</v>
      </c>
      <c r="B109" t="s">
        <v>1156</v>
      </c>
      <c r="C109" t="s">
        <v>1055</v>
      </c>
      <c r="D109" t="str">
        <f t="shared" si="6"/>
        <v>"COAT",</v>
      </c>
    </row>
    <row r="110" spans="1:4" x14ac:dyDescent="0.25">
      <c r="A110" t="s">
        <v>1157</v>
      </c>
      <c r="B110" t="s">
        <v>1146</v>
      </c>
      <c r="C110" t="s">
        <v>1013</v>
      </c>
      <c r="D110" t="str">
        <f t="shared" si="6"/>
        <v>"RBAR",</v>
      </c>
    </row>
    <row r="111" spans="1:4" x14ac:dyDescent="0.25">
      <c r="A111" t="s">
        <v>1158</v>
      </c>
      <c r="B111" t="s">
        <v>1159</v>
      </c>
      <c r="C111" t="s">
        <v>1013</v>
      </c>
      <c r="D111" t="str">
        <f t="shared" si="6"/>
        <v>"STSH",</v>
      </c>
    </row>
    <row r="112" spans="1:4" x14ac:dyDescent="0.25">
      <c r="A112" t="s">
        <v>1160</v>
      </c>
      <c r="B112" t="s">
        <v>1161</v>
      </c>
      <c r="C112" t="s">
        <v>1013</v>
      </c>
      <c r="D112" t="str">
        <f t="shared" si="6"/>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2020-07-14T23:19:39Z</dcterms:modified>
</cp:coreProperties>
</file>